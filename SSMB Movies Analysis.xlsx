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manvi\Desktop\BESANT\EXCEL\"/>
    </mc:Choice>
  </mc:AlternateContent>
  <xr:revisionPtr revIDLastSave="0" documentId="13_ncr:1_{7639624C-7072-4ABA-9D4C-BC024949756A}" xr6:coauthVersionLast="47" xr6:coauthVersionMax="47" xr10:uidLastSave="{00000000-0000-0000-0000-000000000000}"/>
  <bookViews>
    <workbookView xWindow="-108" yWindow="-108" windowWidth="23256" windowHeight="12456" firstSheet="2" activeTab="2" xr2:uid="{A6103295-A91D-4D8E-93DC-2FE5580B0696}"/>
  </bookViews>
  <sheets>
    <sheet name="Mahesh Babu movies" sheetId="1" state="hidden" r:id="rId1"/>
    <sheet name="Pivot Table" sheetId="2" state="hidden" r:id="rId2"/>
    <sheet name="Dashboard" sheetId="3" r:id="rId3"/>
  </sheets>
  <definedNames>
    <definedName name="Slicer_Director">#N/A</definedName>
    <definedName name="Slicer_Genre">#N/A</definedName>
    <definedName name="Slicer_Year">#N/A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<sst xmlns="http://schemas.openxmlformats.org/spreadsheetml/2006/main" count="242" uniqueCount="108">
  <si>
    <t>Movie Name</t>
  </si>
  <si>
    <t>Year</t>
  </si>
  <si>
    <t>Director</t>
  </si>
  <si>
    <t>Genre</t>
  </si>
  <si>
    <t>Budget (₹ Cr)</t>
  </si>
  <si>
    <t>Box Office (₹ Cr)</t>
  </si>
  <si>
    <t>Verdict</t>
  </si>
  <si>
    <t>IMDb Rating</t>
  </si>
  <si>
    <t>Language</t>
  </si>
  <si>
    <t>Production House</t>
  </si>
  <si>
    <t>Rajakumarudu</t>
  </si>
  <si>
    <t>K. Raghavendra Rao</t>
  </si>
  <si>
    <t>Romance/Drama</t>
  </si>
  <si>
    <t>Hit</t>
  </si>
  <si>
    <t>Telugu</t>
  </si>
  <si>
    <t>Vyjayanthi Movies</t>
  </si>
  <si>
    <t>Yuvaraju</t>
  </si>
  <si>
    <t>Y. V. S. Chowdary</t>
  </si>
  <si>
    <t>Romance</t>
  </si>
  <si>
    <t>Average</t>
  </si>
  <si>
    <t>Sri Venkateswara Creations</t>
  </si>
  <si>
    <t>Vamsi</t>
  </si>
  <si>
    <t>B. Gopal</t>
  </si>
  <si>
    <t>Action</t>
  </si>
  <si>
    <t>Suresh Productions</t>
  </si>
  <si>
    <t>Murari</t>
  </si>
  <si>
    <t>Krishna Vamsi</t>
  </si>
  <si>
    <t>Family/Drama</t>
  </si>
  <si>
    <t>Ram Prasad Arts</t>
  </si>
  <si>
    <t>Takkari Donga</t>
  </si>
  <si>
    <t>Jayanth C. Paranjee</t>
  </si>
  <si>
    <t>Action/Western</t>
  </si>
  <si>
    <t>Jayanth Productions</t>
  </si>
  <si>
    <t>Bobby</t>
  </si>
  <si>
    <t>Sobhan</t>
  </si>
  <si>
    <t>Flop</t>
  </si>
  <si>
    <t>Vaishno Academy</t>
  </si>
  <si>
    <t>Okkadu</t>
  </si>
  <si>
    <t>Gunasekhar</t>
  </si>
  <si>
    <t>Action/Sports</t>
  </si>
  <si>
    <t>Blockbuster</t>
  </si>
  <si>
    <t>MS Raju Productions</t>
  </si>
  <si>
    <t>Nijam</t>
  </si>
  <si>
    <t>Teja</t>
  </si>
  <si>
    <t>Drama</t>
  </si>
  <si>
    <t>Chitram Movies</t>
  </si>
  <si>
    <t>Naani</t>
  </si>
  <si>
    <t>S. J. Surya</t>
  </si>
  <si>
    <t>Fantasy</t>
  </si>
  <si>
    <t>Indira Productions</t>
  </si>
  <si>
    <t>Arjun</t>
  </si>
  <si>
    <t>Jayabheri Arts</t>
  </si>
  <si>
    <t>Athadu</t>
  </si>
  <si>
    <t>Trivikram Srinivas</t>
  </si>
  <si>
    <t>Action/Thriller</t>
  </si>
  <si>
    <t>Pokiri</t>
  </si>
  <si>
    <t>Puri Jagannadh</t>
  </si>
  <si>
    <t>Sainikudu</t>
  </si>
  <si>
    <t>GMB Productions</t>
  </si>
  <si>
    <t>Athidhi</t>
  </si>
  <si>
    <t>Surender Reddy</t>
  </si>
  <si>
    <t>UTV Motion Pictures</t>
  </si>
  <si>
    <t>Khaleja</t>
  </si>
  <si>
    <t>Fantasy/Action</t>
  </si>
  <si>
    <t>Harika &amp; Hassine Creations</t>
  </si>
  <si>
    <t>Dookudu</t>
  </si>
  <si>
    <t>Srinu Vaitla</t>
  </si>
  <si>
    <t>Action/Comedy</t>
  </si>
  <si>
    <t>14 Reels Entertainment</t>
  </si>
  <si>
    <t>Businessman</t>
  </si>
  <si>
    <t>Action/Crime</t>
  </si>
  <si>
    <t>R. R. Movie Makers</t>
  </si>
  <si>
    <t>Srikanth Addala</t>
  </si>
  <si>
    <t>1: Nenokkadine</t>
  </si>
  <si>
    <t>Sukumar</t>
  </si>
  <si>
    <t>Thriller</t>
  </si>
  <si>
    <t>Aagadu</t>
  </si>
  <si>
    <t>Srimanthudu</t>
  </si>
  <si>
    <t>Koratala Siva</t>
  </si>
  <si>
    <t>Action/Drama</t>
  </si>
  <si>
    <t>Mythri Movie Makers</t>
  </si>
  <si>
    <t>Brahmotsavam</t>
  </si>
  <si>
    <t>Family</t>
  </si>
  <si>
    <t>PVP Cinema</t>
  </si>
  <si>
    <t>Spyder</t>
  </si>
  <si>
    <t>A. R. Murugadoss</t>
  </si>
  <si>
    <t>Telugu/Tamil</t>
  </si>
  <si>
    <t>NVR Cinema</t>
  </si>
  <si>
    <t>Bharat Ane Nenu</t>
  </si>
  <si>
    <t>Political</t>
  </si>
  <si>
    <t>DVV Entertainment</t>
  </si>
  <si>
    <t>Maharshi</t>
  </si>
  <si>
    <t>Vamsi Paidipally</t>
  </si>
  <si>
    <t>Super Hit</t>
  </si>
  <si>
    <t>Sarileru Neekevvaru</t>
  </si>
  <si>
    <t>Anil Ravipudi</t>
  </si>
  <si>
    <t>AK Entertainments</t>
  </si>
  <si>
    <t>Sarkaru Vaari Paata</t>
  </si>
  <si>
    <t>Parasuram</t>
  </si>
  <si>
    <t>Guntur Kaaram</t>
  </si>
  <si>
    <t>Haarika &amp; Hassine Creations</t>
  </si>
  <si>
    <t>Row Labels</t>
  </si>
  <si>
    <t>Grand Total</t>
  </si>
  <si>
    <t>Count of Movie Name</t>
  </si>
  <si>
    <t>Sum of Box Office (₹ Cr)</t>
  </si>
  <si>
    <t>Average of IMDb Rating</t>
  </si>
  <si>
    <t>SVSC</t>
  </si>
  <si>
    <t>Seethamma Vakitlo Sirimalle Chettu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</si>
</sst>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1" fillId="2" borderId="1" xfId="0" applyFont="1" applyFill="1" applyBorder="1"/>
    <xf numFmtId="164" fontId="0" fillId="0" borderId="0" xfId="0" applyNumberFormat="1"/>
    <xf numFmtId="0" fontId="0" fillId="0" borderId="0" xfId="0" applyNumberFormat="1"/>
  </cellXfs>
  <cellStyles count="1">
    <cellStyle name="Normal" xfId="0" builtinId="0"/>
  </cellStyles>
  <dxfs count="14">
    <dxf>
      <numFmt numFmtId="164" formatCode="0.0"/>
    </dxf>
    <dxf>
      <numFmt numFmtId="164" formatCode="0.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[SSMB Movies Analysis.xlsx]Pivot Table!PivotTable8</c:name>
    <c:fmtId val="9"/>
  </c:pivotSource>
  <c:chart>
    <c:title>
      <c:tx>
        <c:rich>
          <a:bodyPr rot="0" spcFirstLastPara="1" vertOverflow="ellipsis" vert="horz" wrap="square" anchor="ctr" anchorCtr="1"/>
          <a:lstStyle/>
          <a:p>
            <a:pPr>
              <a:defRPr sz="1800" b="0" i="0" u="none" strike="noStrike" kern="1200" baseline="0">
                <a:solidFill>
                  <a:schemeClr val="bg2"/>
                </a:solidFill>
                <a:latin typeface="+mn-lt"/>
                <a:ea typeface="+mn-ea"/>
                <a:cs typeface="+mn-cs"/>
              </a:defRPr>
            </a:pPr>
            <a:r>
              <a:rPr lang="en-IN" b="0">
                <a:solidFill>
                  <a:schemeClr val="bg2"/>
                </a:solidFill>
              </a:rPr>
              <a:t>Movies Released per Year</a:t>
            </a:r>
          </a:p>
        </c:rich>
      </c:tx>
      <c:overlay val="0"/>
      <c:spPr>
        <a:solidFill>
          <a:schemeClr val="bg2">
            <a:lumMod val="25000"/>
          </a:schemeClr>
        </a:solidFill>
        <a:ln>
          <a:noFill/>
        </a:ln>
        <a:effectLst/>
      </c:spPr>
      <c:txPr>
        <a:bodyPr rot="0" spcFirstLastPara="1" vertOverflow="ellipsis" vert="horz" wrap="square" anchor="ctr" anchorCtr="1"/>
        <a:lstStyle/>
        <a:p>
          <a:pPr>
            <a:defRPr sz="1800" b="0" i="0" u="none" strike="noStrike" kern="1200" baseline="0">
              <a:solidFill>
                <a:schemeClr val="bg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pivotFmt>
      <c:pivotFmt>
        <c:idx val="4"/>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pivotFmt>
      <c:pivotFmt>
        <c:idx val="5"/>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pivotFmt>
      <c:pivotFmt>
        <c:idx val="6"/>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Table'!$B$3:$B$25</c:f>
              <c:strCache>
                <c:ptCount val="22"/>
                <c:pt idx="0">
                  <c:v>1999</c:v>
                </c:pt>
                <c:pt idx="1">
                  <c:v>2000</c:v>
                </c:pt>
                <c:pt idx="2">
                  <c:v>2001</c:v>
                </c:pt>
                <c:pt idx="3">
                  <c:v>2002</c:v>
                </c:pt>
                <c:pt idx="4">
                  <c:v>2003</c:v>
                </c:pt>
                <c:pt idx="5">
                  <c:v>2004</c:v>
                </c:pt>
                <c:pt idx="6">
                  <c:v>2005</c:v>
                </c:pt>
                <c:pt idx="7">
                  <c:v>2006</c:v>
                </c:pt>
                <c:pt idx="8">
                  <c:v>2007</c:v>
                </c:pt>
                <c:pt idx="9">
                  <c:v>2010</c:v>
                </c:pt>
                <c:pt idx="10">
                  <c:v>2011</c:v>
                </c:pt>
                <c:pt idx="11">
                  <c:v>2012</c:v>
                </c:pt>
                <c:pt idx="12">
                  <c:v>2013</c:v>
                </c:pt>
                <c:pt idx="13">
                  <c:v>2014</c:v>
                </c:pt>
                <c:pt idx="14">
                  <c:v>2015</c:v>
                </c:pt>
                <c:pt idx="15">
                  <c:v>2016</c:v>
                </c:pt>
                <c:pt idx="16">
                  <c:v>2017</c:v>
                </c:pt>
                <c:pt idx="17">
                  <c:v>2018</c:v>
                </c:pt>
                <c:pt idx="18">
                  <c:v>2019</c:v>
                </c:pt>
                <c:pt idx="19">
                  <c:v>2020</c:v>
                </c:pt>
                <c:pt idx="20">
                  <c:v>2022</c:v>
                </c:pt>
                <c:pt idx="21">
                  <c:v>2024</c:v>
                </c:pt>
              </c:strCache>
            </c:strRef>
          </c:cat>
          <c:val>
            <c:numRef>
              <c:f>'Pivot Table'!$C$3:$C$25</c:f>
              <c:numCache>
                <c:formatCode>General</c:formatCode>
                <c:ptCount val="22"/>
                <c:pt idx="0">
                  <c:v>1</c:v>
                </c:pt>
                <c:pt idx="1">
                  <c:v>2</c:v>
                </c:pt>
                <c:pt idx="2">
                  <c:v>1</c:v>
                </c:pt>
                <c:pt idx="3">
                  <c:v>2</c:v>
                </c:pt>
                <c:pt idx="4">
                  <c:v>2</c:v>
                </c:pt>
                <c:pt idx="5">
                  <c:v>2</c:v>
                </c:pt>
                <c:pt idx="6">
                  <c:v>1</c:v>
                </c:pt>
                <c:pt idx="7">
                  <c:v>2</c:v>
                </c:pt>
                <c:pt idx="8">
                  <c:v>1</c:v>
                </c:pt>
                <c:pt idx="9">
                  <c:v>1</c:v>
                </c:pt>
                <c:pt idx="10">
                  <c:v>1</c:v>
                </c:pt>
                <c:pt idx="11">
                  <c:v>1</c:v>
                </c:pt>
                <c:pt idx="12">
                  <c:v>1</c:v>
                </c:pt>
                <c:pt idx="13">
                  <c:v>2</c:v>
                </c:pt>
                <c:pt idx="14">
                  <c:v>1</c:v>
                </c:pt>
                <c:pt idx="15">
                  <c:v>1</c:v>
                </c:pt>
                <c:pt idx="16">
                  <c:v>1</c:v>
                </c:pt>
                <c:pt idx="17">
                  <c:v>1</c:v>
                </c:pt>
                <c:pt idx="18">
                  <c:v>1</c:v>
                </c:pt>
                <c:pt idx="19">
                  <c:v>1</c:v>
                </c:pt>
                <c:pt idx="20">
                  <c:v>1</c:v>
                </c:pt>
                <c:pt idx="21">
                  <c:v>1</c:v>
                </c:pt>
              </c:numCache>
            </c:numRef>
          </c:val>
          <c:smooth val="0"/>
          <c:extLst>
            <c:ext xmlns:c16="http://schemas.microsoft.com/office/drawing/2014/chart" uri="{C3380CC4-5D6E-409C-BE32-E72D297353CC}">
              <c16:uniqueId val="{00000000-F3A0-4439-951B-FDE713007C98}"/>
            </c:ext>
          </c:extLst>
        </c:ser>
        <c:dLbls>
          <c:dLblPos val="ctr"/>
          <c:showLegendKey val="0"/>
          <c:showVal val="1"/>
          <c:showCatName val="0"/>
          <c:showSerName val="0"/>
          <c:showPercent val="0"/>
          <c:showBubbleSize val="0"/>
        </c:dLbls>
        <c:marker val="1"/>
        <c:smooth val="0"/>
        <c:axId val="2021014655"/>
        <c:axId val="2021013695"/>
      </c:lineChart>
      <c:catAx>
        <c:axId val="20210146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r>
                  <a:rPr lang="en-IN">
                    <a:solidFill>
                      <a:schemeClr val="bg2"/>
                    </a:solidFill>
                  </a:rPr>
                  <a:t>YEARS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2">
                    <a:lumMod val="90000"/>
                  </a:schemeClr>
                </a:solidFill>
                <a:latin typeface="+mn-lt"/>
                <a:ea typeface="+mn-ea"/>
                <a:cs typeface="+mn-cs"/>
              </a:defRPr>
            </a:pPr>
            <a:endParaRPr lang="en-US"/>
          </a:p>
        </c:txPr>
        <c:crossAx val="2021013695"/>
        <c:crosses val="autoZero"/>
        <c:auto val="1"/>
        <c:lblAlgn val="ctr"/>
        <c:lblOffset val="100"/>
        <c:noMultiLvlLbl val="0"/>
      </c:catAx>
      <c:valAx>
        <c:axId val="202101369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2"/>
                    </a:solidFill>
                    <a:latin typeface="+mn-lt"/>
                    <a:ea typeface="+mn-ea"/>
                    <a:cs typeface="+mn-cs"/>
                  </a:defRPr>
                </a:pPr>
                <a:r>
                  <a:rPr lang="en-IN">
                    <a:solidFill>
                      <a:schemeClr val="bg2"/>
                    </a:solidFill>
                  </a:rPr>
                  <a:t>TOTAL MOVIES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202101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[SSMB Movies Analysis.xlsx]Pivot Table!PivotTable9</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Box Office by Movie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
        <c:idx val="5"/>
        <c:spPr>
          <a:noFill/>
          <a:ln w="9525" cap="flat" cmpd="sng" algn="ctr">
            <a:solidFill>
              <a:schemeClr val="accent2"/>
            </a:solidFill>
            <a:miter lim="800000"/>
          </a:ln>
          <a:effectLst>
            <a:glow rad="63500">
              <a:schemeClr val="accent2">
                <a:satMod val="175000"/>
                <a:alpha val="25000"/>
              </a:schemeClr>
            </a:glow>
          </a:effectLst>
        </c:spPr>
      </c:pivotFmt>
      <c:pivotFmt>
        <c:idx val="6"/>
        <c:spPr>
          <a:noFill/>
          <a:ln w="9525" cap="flat" cmpd="sng" algn="ctr">
            <a:solidFill>
              <a:schemeClr val="accent2"/>
            </a:solidFill>
            <a:miter lim="800000"/>
          </a:ln>
          <a:effectLst>
            <a:glow rad="63500">
              <a:schemeClr val="accent2">
                <a:satMod val="175000"/>
                <a:alpha val="25000"/>
              </a:schemeClr>
            </a:glow>
          </a:effectLst>
        </c:spPr>
      </c:pivotFmt>
      <c:pivotFmt>
        <c:idx val="7"/>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Table'!$G$3:$G$31</c:f>
              <c:strCache>
                <c:ptCount val="28"/>
                <c:pt idx="0">
                  <c:v>Sarileru Neekevvaru</c:v>
                </c:pt>
                <c:pt idx="1">
                  <c:v>Bharat Ane Nenu</c:v>
                </c:pt>
                <c:pt idx="2">
                  <c:v>Sarkaru Vaari Paata</c:v>
                </c:pt>
                <c:pt idx="3">
                  <c:v>Maharshi</c:v>
                </c:pt>
                <c:pt idx="4">
                  <c:v>Guntur Kaaram</c:v>
                </c:pt>
                <c:pt idx="5">
                  <c:v>Spyder</c:v>
                </c:pt>
                <c:pt idx="6">
                  <c:v>Srimanthudu</c:v>
                </c:pt>
                <c:pt idx="7">
                  <c:v>Dookudu</c:v>
                </c:pt>
                <c:pt idx="8">
                  <c:v>Seethamma Vakitlo Sirimalle Chettu</c:v>
                </c:pt>
                <c:pt idx="9">
                  <c:v>Businessman</c:v>
                </c:pt>
                <c:pt idx="10">
                  <c:v>Aagadu</c:v>
                </c:pt>
                <c:pt idx="11">
                  <c:v>Khaleja</c:v>
                </c:pt>
                <c:pt idx="12">
                  <c:v>Pokiri</c:v>
                </c:pt>
                <c:pt idx="13">
                  <c:v>1: Nenokkadine</c:v>
                </c:pt>
                <c:pt idx="14">
                  <c:v>Brahmotsavam</c:v>
                </c:pt>
                <c:pt idx="15">
                  <c:v>Athidhi</c:v>
                </c:pt>
                <c:pt idx="16">
                  <c:v>Athadu</c:v>
                </c:pt>
                <c:pt idx="17">
                  <c:v>Sainikudu</c:v>
                </c:pt>
                <c:pt idx="18">
                  <c:v>Okkadu</c:v>
                </c:pt>
                <c:pt idx="19">
                  <c:v>Arjun</c:v>
                </c:pt>
                <c:pt idx="20">
                  <c:v>Murari</c:v>
                </c:pt>
                <c:pt idx="21">
                  <c:v>Rajakumarudu</c:v>
                </c:pt>
                <c:pt idx="22">
                  <c:v>Yuvaraju</c:v>
                </c:pt>
                <c:pt idx="23">
                  <c:v>Takkari Donga</c:v>
                </c:pt>
                <c:pt idx="24">
                  <c:v>Naani</c:v>
                </c:pt>
                <c:pt idx="25">
                  <c:v>Bobby</c:v>
                </c:pt>
                <c:pt idx="26">
                  <c:v>Vamsi</c:v>
                </c:pt>
                <c:pt idx="27">
                  <c:v>Nijam</c:v>
                </c:pt>
              </c:strCache>
            </c:strRef>
          </c:cat>
          <c:val>
            <c:numRef>
              <c:f>'Pivot Table'!$H$3:$H$31</c:f>
              <c:numCache>
                <c:formatCode>General</c:formatCode>
                <c:ptCount val="28"/>
                <c:pt idx="0">
                  <c:v>260</c:v>
                </c:pt>
                <c:pt idx="1">
                  <c:v>225</c:v>
                </c:pt>
                <c:pt idx="2">
                  <c:v>180</c:v>
                </c:pt>
                <c:pt idx="3">
                  <c:v>175</c:v>
                </c:pt>
                <c:pt idx="4">
                  <c:v>172</c:v>
                </c:pt>
                <c:pt idx="5">
                  <c:v>150</c:v>
                </c:pt>
                <c:pt idx="6">
                  <c:v>144</c:v>
                </c:pt>
                <c:pt idx="7">
                  <c:v>101</c:v>
                </c:pt>
                <c:pt idx="8">
                  <c:v>85</c:v>
                </c:pt>
                <c:pt idx="9">
                  <c:v>80</c:v>
                </c:pt>
                <c:pt idx="10">
                  <c:v>75</c:v>
                </c:pt>
                <c:pt idx="11">
                  <c:v>70</c:v>
                </c:pt>
                <c:pt idx="12">
                  <c:v>66</c:v>
                </c:pt>
                <c:pt idx="13">
                  <c:v>62</c:v>
                </c:pt>
                <c:pt idx="14">
                  <c:v>60</c:v>
                </c:pt>
                <c:pt idx="15">
                  <c:v>45</c:v>
                </c:pt>
                <c:pt idx="16">
                  <c:v>45</c:v>
                </c:pt>
                <c:pt idx="17">
                  <c:v>40</c:v>
                </c:pt>
                <c:pt idx="18">
                  <c:v>40</c:v>
                </c:pt>
                <c:pt idx="19">
                  <c:v>30</c:v>
                </c:pt>
                <c:pt idx="20">
                  <c:v>30</c:v>
                </c:pt>
                <c:pt idx="21">
                  <c:v>25</c:v>
                </c:pt>
                <c:pt idx="22">
                  <c:v>20</c:v>
                </c:pt>
                <c:pt idx="23">
                  <c:v>20</c:v>
                </c:pt>
                <c:pt idx="24">
                  <c:v>18</c:v>
                </c:pt>
                <c:pt idx="25">
                  <c:v>18</c:v>
                </c:pt>
                <c:pt idx="26">
                  <c:v>15</c:v>
                </c:pt>
                <c:pt idx="27">
                  <c:v>10</c:v>
                </c:pt>
              </c:numCache>
            </c:numRef>
          </c:val>
          <c:extLst>
            <c:ext xmlns:c16="http://schemas.microsoft.com/office/drawing/2014/chart" uri="{C3380CC4-5D6E-409C-BE32-E72D297353CC}">
              <c16:uniqueId val="{00000000-5DA0-43DC-9B51-E1D9C82A2BE8}"/>
            </c:ext>
          </c:extLst>
        </c:ser>
        <c:dLbls>
          <c:showLegendKey val="0"/>
          <c:showVal val="0"/>
          <c:showCatName val="0"/>
          <c:showSerName val="0"/>
          <c:showPercent val="0"/>
          <c:showBubbleSize val="0"/>
        </c:dLbls>
        <c:gapWidth val="182"/>
        <c:overlap val="-50"/>
        <c:axId val="2088041983"/>
        <c:axId val="2088041503"/>
      </c:barChart>
      <c:catAx>
        <c:axId val="208804198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MOVIES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8041503"/>
        <c:crosses val="autoZero"/>
        <c:auto val="1"/>
        <c:lblAlgn val="ctr"/>
        <c:lblOffset val="100"/>
        <c:noMultiLvlLbl val="0"/>
      </c:catAx>
      <c:valAx>
        <c:axId val="208804150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BOX OFFICE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804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[SSMB Movies Analysis.xlsx]Pivot Table!PivotTable10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solidFill>
              </a:rPr>
              <a:t>Verdict Distribution</a:t>
            </a:r>
            <a:endParaRPr lang="en-US" b="1">
              <a:solidFill>
                <a:schemeClr val="bg2"/>
              </a:solidFill>
            </a:endParaRPr>
          </a:p>
        </c:rich>
      </c:tx>
      <c:layout>
        <c:manualLayout>
          <c:xMode val="edge"/>
          <c:yMode val="edge"/>
          <c:x val="0.33287419922439082"/>
          <c:y val="2.87499542528615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hade val="53000"/>
            </a:schemeClr>
          </a:solidFill>
          <a:ln w="19050">
            <a:solidFill>
              <a:schemeClr val="lt1"/>
            </a:solidFill>
          </a:ln>
          <a:effectLst/>
        </c:spPr>
      </c:pivotFmt>
      <c:pivotFmt>
        <c:idx val="9"/>
        <c:spPr>
          <a:solidFill>
            <a:schemeClr val="accent2">
              <a:shade val="76000"/>
            </a:schemeClr>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tint val="77000"/>
            </a:schemeClr>
          </a:solidFill>
          <a:ln w="19050">
            <a:solidFill>
              <a:schemeClr val="lt1"/>
            </a:solidFill>
          </a:ln>
          <a:effectLst/>
        </c:spPr>
      </c:pivotFmt>
      <c:pivotFmt>
        <c:idx val="12"/>
        <c:spPr>
          <a:solidFill>
            <a:schemeClr val="accent2">
              <a:tint val="54000"/>
            </a:schemeClr>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hade val="53000"/>
            </a:schemeClr>
          </a:solidFill>
          <a:ln w="19050">
            <a:solidFill>
              <a:schemeClr val="lt1"/>
            </a:solidFill>
          </a:ln>
          <a:effectLst/>
        </c:spPr>
      </c:pivotFmt>
      <c:pivotFmt>
        <c:idx val="15"/>
        <c:spPr>
          <a:solidFill>
            <a:schemeClr val="accent2">
              <a:shade val="76000"/>
            </a:schemeClr>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tint val="77000"/>
            </a:schemeClr>
          </a:solidFill>
          <a:ln w="19050">
            <a:solidFill>
              <a:schemeClr val="lt1"/>
            </a:solidFill>
          </a:ln>
          <a:effectLst/>
        </c:spPr>
      </c:pivotFmt>
      <c:pivotFmt>
        <c:idx val="18"/>
        <c:spPr>
          <a:solidFill>
            <a:schemeClr val="accent2">
              <a:tint val="54000"/>
            </a:schemeClr>
          </a:solidFill>
          <a:ln w="19050">
            <a:solidFill>
              <a:schemeClr val="lt1"/>
            </a:solidFill>
          </a:ln>
          <a:effectLst/>
        </c:spPr>
      </c:pivotFmt>
      <c:pivotFmt>
        <c:idx val="1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hade val="53000"/>
            </a:schemeClr>
          </a:solidFill>
          <a:ln w="19050">
            <a:solidFill>
              <a:schemeClr val="lt1"/>
            </a:solidFill>
          </a:ln>
          <a:effectLst/>
        </c:spPr>
      </c:pivotFmt>
      <c:pivotFmt>
        <c:idx val="21"/>
        <c:spPr>
          <a:solidFill>
            <a:schemeClr val="accent2">
              <a:shade val="76000"/>
            </a:schemeClr>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tint val="77000"/>
            </a:schemeClr>
          </a:solidFill>
          <a:ln w="19050">
            <a:solidFill>
              <a:schemeClr val="lt1"/>
            </a:solidFill>
          </a:ln>
          <a:effectLst/>
        </c:spPr>
      </c:pivotFmt>
      <c:pivotFmt>
        <c:idx val="24"/>
        <c:spPr>
          <a:solidFill>
            <a:schemeClr val="accent2">
              <a:tint val="54000"/>
            </a:schemeClr>
          </a:solidFill>
          <a:ln w="19050">
            <a:solidFill>
              <a:schemeClr val="lt1"/>
            </a:solidFill>
          </a:ln>
          <a:effectLst/>
        </c:spPr>
      </c:pivotFmt>
    </c:pivotFmts>
    <c:plotArea>
      <c:layout/>
      <c:pieChart>
        <c:varyColors val="1"/>
        <c:ser>
          <c:idx val="0"/>
          <c:order val="0"/>
          <c:tx>
            <c:strRef>
              <c:f>'Pivot Table'!$K$2</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842D-4A80-883E-32E268CFF73A}"/>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842D-4A80-883E-32E268CFF73A}"/>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842D-4A80-883E-32E268CFF73A}"/>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842D-4A80-883E-32E268CFF73A}"/>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842D-4A80-883E-32E268CFF7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Table'!$J$3:$J$8</c:f>
              <c:strCache>
                <c:ptCount val="5"/>
                <c:pt idx="0">
                  <c:v>Average</c:v>
                </c:pt>
                <c:pt idx="1">
                  <c:v>Blockbuster</c:v>
                </c:pt>
                <c:pt idx="2">
                  <c:v>Flop</c:v>
                </c:pt>
                <c:pt idx="3">
                  <c:v>Hit</c:v>
                </c:pt>
                <c:pt idx="4">
                  <c:v>Super Hit</c:v>
                </c:pt>
              </c:strCache>
            </c:strRef>
          </c:cat>
          <c:val>
            <c:numRef>
              <c:f>'Pivot Table'!$K$3:$K$8</c:f>
              <c:numCache>
                <c:formatCode>General</c:formatCode>
                <c:ptCount val="5"/>
                <c:pt idx="0">
                  <c:v>8</c:v>
                </c:pt>
                <c:pt idx="1">
                  <c:v>6</c:v>
                </c:pt>
                <c:pt idx="2">
                  <c:v>7</c:v>
                </c:pt>
                <c:pt idx="3">
                  <c:v>6</c:v>
                </c:pt>
                <c:pt idx="4">
                  <c:v>1</c:v>
                </c:pt>
              </c:numCache>
            </c:numRef>
          </c:val>
          <c:extLst>
            <c:ext xmlns:c16="http://schemas.microsoft.com/office/drawing/2014/chart" uri="{C3380CC4-5D6E-409C-BE32-E72D297353CC}">
              <c16:uniqueId val="{0000000A-842D-4A80-883E-32E268CFF7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[SSMB Movies Analysis.xlsx]Pivot Table!PivotTable11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2">
                    <a:lumMod val="90000"/>
                  </a:schemeClr>
                </a:solidFill>
              </a:rPr>
              <a:t>Genre Distribution</a:t>
            </a:r>
          </a:p>
          <a:p>
            <a:pPr>
              <a:defRPr/>
            </a:pPr>
            <a:endParaRPr lang="en-US"/>
          </a:p>
        </c:rich>
      </c:tx>
      <c:overlay val="0"/>
      <c:spPr>
        <a:solidFill>
          <a:schemeClr val="bg2">
            <a:lumMod val="2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hade val="38000"/>
            </a:schemeClr>
          </a:solidFill>
          <a:ln w="19050">
            <a:solidFill>
              <a:schemeClr val="lt1"/>
            </a:solidFill>
          </a:ln>
          <a:effectLst/>
        </c:spPr>
      </c:pivotFmt>
      <c:pivotFmt>
        <c:idx val="20"/>
        <c:spPr>
          <a:solidFill>
            <a:schemeClr val="accent2">
              <a:shade val="46000"/>
            </a:schemeClr>
          </a:solidFill>
          <a:ln w="19050">
            <a:solidFill>
              <a:schemeClr val="lt1"/>
            </a:solidFill>
          </a:ln>
          <a:effectLst/>
        </c:spPr>
      </c:pivotFmt>
      <c:pivotFmt>
        <c:idx val="21"/>
        <c:spPr>
          <a:solidFill>
            <a:schemeClr val="accent2">
              <a:shade val="54000"/>
            </a:schemeClr>
          </a:solidFill>
          <a:ln w="19050">
            <a:solidFill>
              <a:schemeClr val="lt1"/>
            </a:solidFill>
          </a:ln>
          <a:effectLst/>
        </c:spPr>
      </c:pivotFmt>
      <c:pivotFmt>
        <c:idx val="22"/>
        <c:spPr>
          <a:solidFill>
            <a:schemeClr val="accent2">
              <a:shade val="62000"/>
            </a:schemeClr>
          </a:solidFill>
          <a:ln w="19050">
            <a:solidFill>
              <a:schemeClr val="lt1"/>
            </a:solidFill>
          </a:ln>
          <a:effectLst/>
        </c:spPr>
      </c:pivotFmt>
      <c:pivotFmt>
        <c:idx val="23"/>
        <c:spPr>
          <a:solidFill>
            <a:schemeClr val="accent2">
              <a:shade val="71000"/>
            </a:schemeClr>
          </a:solidFill>
          <a:ln w="19050">
            <a:solidFill>
              <a:schemeClr val="lt1"/>
            </a:solidFill>
          </a:ln>
          <a:effectLst/>
        </c:spPr>
      </c:pivotFmt>
      <c:pivotFmt>
        <c:idx val="24"/>
        <c:spPr>
          <a:solidFill>
            <a:schemeClr val="accent2">
              <a:shade val="79000"/>
            </a:schemeClr>
          </a:solidFill>
          <a:ln w="19050">
            <a:solidFill>
              <a:schemeClr val="lt1"/>
            </a:solidFill>
          </a:ln>
          <a:effectLst/>
        </c:spPr>
      </c:pivotFmt>
      <c:pivotFmt>
        <c:idx val="25"/>
        <c:spPr>
          <a:solidFill>
            <a:schemeClr val="accent2">
              <a:shade val="87000"/>
            </a:schemeClr>
          </a:solidFill>
          <a:ln w="19050">
            <a:solidFill>
              <a:schemeClr val="lt1"/>
            </a:solidFill>
          </a:ln>
          <a:effectLst/>
        </c:spPr>
      </c:pivotFmt>
      <c:pivotFmt>
        <c:idx val="26"/>
        <c:spPr>
          <a:solidFill>
            <a:schemeClr val="accent2">
              <a:shade val="95000"/>
            </a:schemeClr>
          </a:solidFill>
          <a:ln w="19050">
            <a:solidFill>
              <a:schemeClr val="lt1"/>
            </a:solidFill>
          </a:ln>
          <a:effectLst/>
        </c:spPr>
      </c:pivotFmt>
      <c:pivotFmt>
        <c:idx val="27"/>
        <c:spPr>
          <a:solidFill>
            <a:schemeClr val="accent2">
              <a:tint val="96000"/>
            </a:schemeClr>
          </a:solidFill>
          <a:ln w="19050">
            <a:solidFill>
              <a:schemeClr val="lt1"/>
            </a:solidFill>
          </a:ln>
          <a:effectLst/>
        </c:spPr>
      </c:pivotFmt>
      <c:pivotFmt>
        <c:idx val="28"/>
        <c:spPr>
          <a:solidFill>
            <a:schemeClr val="accent2">
              <a:tint val="88000"/>
            </a:schemeClr>
          </a:solidFill>
          <a:ln w="19050">
            <a:solidFill>
              <a:schemeClr val="lt1"/>
            </a:solidFill>
          </a:ln>
          <a:effectLst/>
        </c:spPr>
      </c:pivotFmt>
      <c:pivotFmt>
        <c:idx val="29"/>
        <c:spPr>
          <a:solidFill>
            <a:schemeClr val="accent2">
              <a:tint val="80000"/>
            </a:schemeClr>
          </a:solidFill>
          <a:ln w="19050">
            <a:solidFill>
              <a:schemeClr val="lt1"/>
            </a:solidFill>
          </a:ln>
          <a:effectLst/>
        </c:spPr>
      </c:pivotFmt>
      <c:pivotFmt>
        <c:idx val="30"/>
        <c:spPr>
          <a:solidFill>
            <a:schemeClr val="accent2">
              <a:tint val="72000"/>
            </a:schemeClr>
          </a:solidFill>
          <a:ln w="19050">
            <a:solidFill>
              <a:schemeClr val="lt1"/>
            </a:solidFill>
          </a:ln>
          <a:effectLst/>
        </c:spPr>
      </c:pivotFmt>
      <c:pivotFmt>
        <c:idx val="31"/>
        <c:spPr>
          <a:solidFill>
            <a:schemeClr val="accent2">
              <a:tint val="63000"/>
            </a:schemeClr>
          </a:solidFill>
          <a:ln w="19050">
            <a:solidFill>
              <a:schemeClr val="lt1"/>
            </a:solidFill>
          </a:ln>
          <a:effectLst/>
        </c:spPr>
      </c:pivotFmt>
      <c:pivotFmt>
        <c:idx val="32"/>
        <c:spPr>
          <a:solidFill>
            <a:schemeClr val="accent2">
              <a:tint val="55000"/>
            </a:schemeClr>
          </a:solidFill>
          <a:ln w="19050">
            <a:solidFill>
              <a:schemeClr val="lt1"/>
            </a:solidFill>
          </a:ln>
          <a:effectLst/>
        </c:spPr>
      </c:pivotFmt>
      <c:pivotFmt>
        <c:idx val="33"/>
        <c:spPr>
          <a:solidFill>
            <a:schemeClr val="accent2">
              <a:tint val="47000"/>
            </a:schemeClr>
          </a:solidFill>
          <a:ln w="19050">
            <a:solidFill>
              <a:schemeClr val="lt1"/>
            </a:solidFill>
          </a:ln>
          <a:effectLst/>
        </c:spPr>
      </c:pivotFmt>
      <c:pivotFmt>
        <c:idx val="34"/>
        <c:spPr>
          <a:solidFill>
            <a:schemeClr val="accent2">
              <a:tint val="39000"/>
            </a:schemeClr>
          </a:solidFill>
          <a:ln w="19050">
            <a:solidFill>
              <a:schemeClr val="lt1"/>
            </a:solidFill>
          </a:ln>
          <a:effectLst/>
        </c:spPr>
      </c:pivotFmt>
      <c:pivotFmt>
        <c:idx val="3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hade val="38000"/>
            </a:schemeClr>
          </a:solidFill>
          <a:ln w="19050">
            <a:solidFill>
              <a:schemeClr val="lt1"/>
            </a:solidFill>
          </a:ln>
          <a:effectLst/>
        </c:spPr>
      </c:pivotFmt>
      <c:pivotFmt>
        <c:idx val="37"/>
        <c:spPr>
          <a:solidFill>
            <a:schemeClr val="accent2">
              <a:shade val="46000"/>
            </a:schemeClr>
          </a:solidFill>
          <a:ln w="19050">
            <a:solidFill>
              <a:schemeClr val="lt1"/>
            </a:solidFill>
          </a:ln>
          <a:effectLst/>
        </c:spPr>
      </c:pivotFmt>
      <c:pivotFmt>
        <c:idx val="38"/>
        <c:spPr>
          <a:solidFill>
            <a:schemeClr val="accent2">
              <a:shade val="54000"/>
            </a:schemeClr>
          </a:solidFill>
          <a:ln w="19050">
            <a:solidFill>
              <a:schemeClr val="lt1"/>
            </a:solidFill>
          </a:ln>
          <a:effectLst/>
        </c:spPr>
      </c:pivotFmt>
      <c:pivotFmt>
        <c:idx val="39"/>
        <c:spPr>
          <a:solidFill>
            <a:schemeClr val="accent2">
              <a:shade val="62000"/>
            </a:schemeClr>
          </a:solidFill>
          <a:ln w="19050">
            <a:solidFill>
              <a:schemeClr val="lt1"/>
            </a:solidFill>
          </a:ln>
          <a:effectLst/>
        </c:spPr>
      </c:pivotFmt>
      <c:pivotFmt>
        <c:idx val="40"/>
        <c:spPr>
          <a:solidFill>
            <a:schemeClr val="accent2">
              <a:shade val="71000"/>
            </a:schemeClr>
          </a:solidFill>
          <a:ln w="19050">
            <a:solidFill>
              <a:schemeClr val="lt1"/>
            </a:solidFill>
          </a:ln>
          <a:effectLst/>
        </c:spPr>
      </c:pivotFmt>
      <c:pivotFmt>
        <c:idx val="41"/>
        <c:spPr>
          <a:solidFill>
            <a:schemeClr val="accent2">
              <a:shade val="79000"/>
            </a:schemeClr>
          </a:solidFill>
          <a:ln w="19050">
            <a:solidFill>
              <a:schemeClr val="lt1"/>
            </a:solidFill>
          </a:ln>
          <a:effectLst/>
        </c:spPr>
      </c:pivotFmt>
      <c:pivotFmt>
        <c:idx val="42"/>
        <c:spPr>
          <a:solidFill>
            <a:schemeClr val="accent2">
              <a:shade val="87000"/>
            </a:schemeClr>
          </a:solidFill>
          <a:ln w="19050">
            <a:solidFill>
              <a:schemeClr val="lt1"/>
            </a:solidFill>
          </a:ln>
          <a:effectLst/>
        </c:spPr>
      </c:pivotFmt>
      <c:pivotFmt>
        <c:idx val="43"/>
        <c:spPr>
          <a:solidFill>
            <a:schemeClr val="accent2">
              <a:shade val="95000"/>
            </a:schemeClr>
          </a:solidFill>
          <a:ln w="19050">
            <a:solidFill>
              <a:schemeClr val="lt1"/>
            </a:solidFill>
          </a:ln>
          <a:effectLst/>
        </c:spPr>
      </c:pivotFmt>
      <c:pivotFmt>
        <c:idx val="44"/>
        <c:spPr>
          <a:solidFill>
            <a:schemeClr val="accent2">
              <a:tint val="96000"/>
            </a:schemeClr>
          </a:solidFill>
          <a:ln w="19050">
            <a:solidFill>
              <a:schemeClr val="lt1"/>
            </a:solidFill>
          </a:ln>
          <a:effectLst/>
        </c:spPr>
      </c:pivotFmt>
      <c:pivotFmt>
        <c:idx val="45"/>
        <c:spPr>
          <a:solidFill>
            <a:schemeClr val="accent2">
              <a:tint val="88000"/>
            </a:schemeClr>
          </a:solidFill>
          <a:ln w="19050">
            <a:solidFill>
              <a:schemeClr val="lt1"/>
            </a:solidFill>
          </a:ln>
          <a:effectLst/>
        </c:spPr>
      </c:pivotFmt>
      <c:pivotFmt>
        <c:idx val="46"/>
        <c:spPr>
          <a:solidFill>
            <a:schemeClr val="accent2">
              <a:tint val="80000"/>
            </a:schemeClr>
          </a:solidFill>
          <a:ln w="19050">
            <a:solidFill>
              <a:schemeClr val="lt1"/>
            </a:solidFill>
          </a:ln>
          <a:effectLst/>
        </c:spPr>
      </c:pivotFmt>
      <c:pivotFmt>
        <c:idx val="47"/>
        <c:spPr>
          <a:solidFill>
            <a:schemeClr val="accent2">
              <a:tint val="72000"/>
            </a:schemeClr>
          </a:solidFill>
          <a:ln w="19050">
            <a:solidFill>
              <a:schemeClr val="lt1"/>
            </a:solidFill>
          </a:ln>
          <a:effectLst/>
        </c:spPr>
      </c:pivotFmt>
      <c:pivotFmt>
        <c:idx val="48"/>
        <c:spPr>
          <a:solidFill>
            <a:schemeClr val="accent2">
              <a:tint val="63000"/>
            </a:schemeClr>
          </a:solidFill>
          <a:ln w="19050">
            <a:solidFill>
              <a:schemeClr val="lt1"/>
            </a:solidFill>
          </a:ln>
          <a:effectLst/>
        </c:spPr>
      </c:pivotFmt>
      <c:pivotFmt>
        <c:idx val="49"/>
        <c:spPr>
          <a:solidFill>
            <a:schemeClr val="accent2">
              <a:tint val="55000"/>
            </a:schemeClr>
          </a:solidFill>
          <a:ln w="19050">
            <a:solidFill>
              <a:schemeClr val="lt1"/>
            </a:solidFill>
          </a:ln>
          <a:effectLst/>
        </c:spPr>
      </c:pivotFmt>
      <c:pivotFmt>
        <c:idx val="50"/>
        <c:spPr>
          <a:solidFill>
            <a:schemeClr val="accent2">
              <a:tint val="47000"/>
            </a:schemeClr>
          </a:solidFill>
          <a:ln w="19050">
            <a:solidFill>
              <a:schemeClr val="lt1"/>
            </a:solidFill>
          </a:ln>
          <a:effectLst/>
        </c:spPr>
      </c:pivotFmt>
      <c:pivotFmt>
        <c:idx val="51"/>
        <c:spPr>
          <a:solidFill>
            <a:schemeClr val="accent2">
              <a:tint val="39000"/>
            </a:schemeClr>
          </a:solidFill>
          <a:ln w="19050">
            <a:solidFill>
              <a:schemeClr val="lt1"/>
            </a:solidFill>
          </a:ln>
          <a:effectLst/>
        </c:spPr>
      </c:pivotFmt>
      <c:pivotFmt>
        <c:idx val="5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2">
              <a:shade val="38000"/>
            </a:schemeClr>
          </a:solidFill>
          <a:ln w="19050">
            <a:solidFill>
              <a:schemeClr val="lt1"/>
            </a:solidFill>
          </a:ln>
          <a:effectLst/>
        </c:spPr>
      </c:pivotFmt>
      <c:pivotFmt>
        <c:idx val="54"/>
        <c:spPr>
          <a:solidFill>
            <a:schemeClr val="accent2">
              <a:shade val="46000"/>
            </a:schemeClr>
          </a:solidFill>
          <a:ln w="19050">
            <a:solidFill>
              <a:schemeClr val="lt1"/>
            </a:solidFill>
          </a:ln>
          <a:effectLst/>
        </c:spPr>
      </c:pivotFmt>
      <c:pivotFmt>
        <c:idx val="55"/>
        <c:spPr>
          <a:solidFill>
            <a:schemeClr val="accent2">
              <a:shade val="54000"/>
            </a:schemeClr>
          </a:solidFill>
          <a:ln w="19050">
            <a:solidFill>
              <a:schemeClr val="lt1"/>
            </a:solidFill>
          </a:ln>
          <a:effectLst/>
        </c:spPr>
      </c:pivotFmt>
      <c:pivotFmt>
        <c:idx val="56"/>
        <c:spPr>
          <a:solidFill>
            <a:schemeClr val="accent2">
              <a:shade val="62000"/>
            </a:schemeClr>
          </a:solidFill>
          <a:ln w="19050">
            <a:solidFill>
              <a:schemeClr val="lt1"/>
            </a:solidFill>
          </a:ln>
          <a:effectLst/>
        </c:spPr>
      </c:pivotFmt>
      <c:pivotFmt>
        <c:idx val="57"/>
        <c:spPr>
          <a:solidFill>
            <a:schemeClr val="accent2">
              <a:shade val="71000"/>
            </a:schemeClr>
          </a:solidFill>
          <a:ln w="19050">
            <a:solidFill>
              <a:schemeClr val="lt1"/>
            </a:solidFill>
          </a:ln>
          <a:effectLst/>
        </c:spPr>
      </c:pivotFmt>
      <c:pivotFmt>
        <c:idx val="58"/>
        <c:spPr>
          <a:solidFill>
            <a:schemeClr val="accent2">
              <a:shade val="79000"/>
            </a:schemeClr>
          </a:solidFill>
          <a:ln w="19050">
            <a:solidFill>
              <a:schemeClr val="lt1"/>
            </a:solidFill>
          </a:ln>
          <a:effectLst/>
        </c:spPr>
      </c:pivotFmt>
      <c:pivotFmt>
        <c:idx val="59"/>
        <c:spPr>
          <a:solidFill>
            <a:schemeClr val="accent2">
              <a:shade val="87000"/>
            </a:schemeClr>
          </a:solidFill>
          <a:ln w="19050">
            <a:solidFill>
              <a:schemeClr val="lt1"/>
            </a:solidFill>
          </a:ln>
          <a:effectLst/>
        </c:spPr>
      </c:pivotFmt>
      <c:pivotFmt>
        <c:idx val="60"/>
        <c:spPr>
          <a:solidFill>
            <a:schemeClr val="accent2">
              <a:shade val="95000"/>
            </a:schemeClr>
          </a:solidFill>
          <a:ln w="19050">
            <a:solidFill>
              <a:schemeClr val="lt1"/>
            </a:solidFill>
          </a:ln>
          <a:effectLst/>
        </c:spPr>
      </c:pivotFmt>
      <c:pivotFmt>
        <c:idx val="61"/>
        <c:spPr>
          <a:solidFill>
            <a:schemeClr val="accent2">
              <a:tint val="96000"/>
            </a:schemeClr>
          </a:solidFill>
          <a:ln w="19050">
            <a:solidFill>
              <a:schemeClr val="lt1"/>
            </a:solidFill>
          </a:ln>
          <a:effectLst/>
        </c:spPr>
      </c:pivotFmt>
      <c:pivotFmt>
        <c:idx val="62"/>
        <c:spPr>
          <a:solidFill>
            <a:schemeClr val="accent2">
              <a:tint val="88000"/>
            </a:schemeClr>
          </a:solidFill>
          <a:ln w="19050">
            <a:solidFill>
              <a:schemeClr val="lt1"/>
            </a:solidFill>
          </a:ln>
          <a:effectLst/>
        </c:spPr>
      </c:pivotFmt>
      <c:pivotFmt>
        <c:idx val="63"/>
        <c:spPr>
          <a:solidFill>
            <a:schemeClr val="accent2">
              <a:tint val="80000"/>
            </a:schemeClr>
          </a:solidFill>
          <a:ln w="19050">
            <a:solidFill>
              <a:schemeClr val="lt1"/>
            </a:solidFill>
          </a:ln>
          <a:effectLst/>
        </c:spPr>
      </c:pivotFmt>
      <c:pivotFmt>
        <c:idx val="64"/>
        <c:spPr>
          <a:solidFill>
            <a:schemeClr val="accent2">
              <a:tint val="72000"/>
            </a:schemeClr>
          </a:solidFill>
          <a:ln w="19050">
            <a:solidFill>
              <a:schemeClr val="lt1"/>
            </a:solidFill>
          </a:ln>
          <a:effectLst/>
        </c:spPr>
      </c:pivotFmt>
      <c:pivotFmt>
        <c:idx val="65"/>
        <c:spPr>
          <a:solidFill>
            <a:schemeClr val="accent2">
              <a:tint val="63000"/>
            </a:schemeClr>
          </a:solidFill>
          <a:ln w="19050">
            <a:solidFill>
              <a:schemeClr val="lt1"/>
            </a:solidFill>
          </a:ln>
          <a:effectLst/>
        </c:spPr>
      </c:pivotFmt>
      <c:pivotFmt>
        <c:idx val="66"/>
        <c:spPr>
          <a:solidFill>
            <a:schemeClr val="accent2">
              <a:tint val="55000"/>
            </a:schemeClr>
          </a:solidFill>
          <a:ln w="19050">
            <a:solidFill>
              <a:schemeClr val="lt1"/>
            </a:solidFill>
          </a:ln>
          <a:effectLst/>
        </c:spPr>
      </c:pivotFmt>
      <c:pivotFmt>
        <c:idx val="67"/>
        <c:spPr>
          <a:solidFill>
            <a:schemeClr val="accent2">
              <a:tint val="47000"/>
            </a:schemeClr>
          </a:solidFill>
          <a:ln w="19050">
            <a:solidFill>
              <a:schemeClr val="lt1"/>
            </a:solidFill>
          </a:ln>
          <a:effectLst/>
        </c:spPr>
      </c:pivotFmt>
      <c:pivotFmt>
        <c:idx val="68"/>
        <c:spPr>
          <a:solidFill>
            <a:schemeClr val="accent2">
              <a:tint val="39000"/>
            </a:schemeClr>
          </a:solidFill>
          <a:ln w="19050">
            <a:solidFill>
              <a:schemeClr val="lt1"/>
            </a:solidFill>
          </a:ln>
          <a:effectLst/>
        </c:spPr>
      </c:pivotFmt>
    </c:pivotFmts>
    <c:plotArea>
      <c:layout/>
      <c:doughnutChart>
        <c:varyColors val="1"/>
        <c:ser>
          <c:idx val="0"/>
          <c:order val="0"/>
          <c:tx>
            <c:strRef>
              <c:f>'Pivot Table'!$N$2</c:f>
              <c:strCache>
                <c:ptCount val="1"/>
                <c:pt idx="0">
                  <c:v>Total</c:v>
                </c:pt>
              </c:strCache>
            </c:strRef>
          </c:tx>
          <c:dPt>
            <c:idx val="0"/>
            <c:bubble3D val="0"/>
            <c:spPr>
              <a:solidFill>
                <a:schemeClr val="accent2">
                  <a:shade val="38000"/>
                </a:schemeClr>
              </a:solidFill>
              <a:ln w="19050">
                <a:solidFill>
                  <a:schemeClr val="lt1"/>
                </a:solidFill>
              </a:ln>
              <a:effectLst/>
            </c:spPr>
            <c:extLst>
              <c:ext xmlns:c16="http://schemas.microsoft.com/office/drawing/2014/chart" uri="{C3380CC4-5D6E-409C-BE32-E72D297353CC}">
                <c16:uniqueId val="{00000001-0801-486B-93FE-6B1A142458CD}"/>
              </c:ext>
            </c:extLst>
          </c:dPt>
          <c:dPt>
            <c:idx val="1"/>
            <c:bubble3D val="0"/>
            <c:spPr>
              <a:solidFill>
                <a:schemeClr val="accent2">
                  <a:shade val="46000"/>
                </a:schemeClr>
              </a:solidFill>
              <a:ln w="19050">
                <a:solidFill>
                  <a:schemeClr val="lt1"/>
                </a:solidFill>
              </a:ln>
              <a:effectLst/>
            </c:spPr>
            <c:extLst>
              <c:ext xmlns:c16="http://schemas.microsoft.com/office/drawing/2014/chart" uri="{C3380CC4-5D6E-409C-BE32-E72D297353CC}">
                <c16:uniqueId val="{00000003-0801-486B-93FE-6B1A142458CD}"/>
              </c:ext>
            </c:extLst>
          </c:dPt>
          <c:dPt>
            <c:idx val="2"/>
            <c:bubble3D val="0"/>
            <c:spPr>
              <a:solidFill>
                <a:schemeClr val="accent2">
                  <a:shade val="54000"/>
                </a:schemeClr>
              </a:solidFill>
              <a:ln w="19050">
                <a:solidFill>
                  <a:schemeClr val="lt1"/>
                </a:solidFill>
              </a:ln>
              <a:effectLst/>
            </c:spPr>
            <c:extLst>
              <c:ext xmlns:c16="http://schemas.microsoft.com/office/drawing/2014/chart" uri="{C3380CC4-5D6E-409C-BE32-E72D297353CC}">
                <c16:uniqueId val="{00000005-0801-486B-93FE-6B1A142458CD}"/>
              </c:ext>
            </c:extLst>
          </c:dPt>
          <c:dPt>
            <c:idx val="3"/>
            <c:bubble3D val="0"/>
            <c:spPr>
              <a:solidFill>
                <a:schemeClr val="accent2">
                  <a:shade val="62000"/>
                </a:schemeClr>
              </a:solidFill>
              <a:ln w="19050">
                <a:solidFill>
                  <a:schemeClr val="lt1"/>
                </a:solidFill>
              </a:ln>
              <a:effectLst/>
            </c:spPr>
            <c:extLst>
              <c:ext xmlns:c16="http://schemas.microsoft.com/office/drawing/2014/chart" uri="{C3380CC4-5D6E-409C-BE32-E72D297353CC}">
                <c16:uniqueId val="{00000007-0801-486B-93FE-6B1A142458CD}"/>
              </c:ext>
            </c:extLst>
          </c:dPt>
          <c:dPt>
            <c:idx val="4"/>
            <c:bubble3D val="0"/>
            <c:spPr>
              <a:solidFill>
                <a:schemeClr val="accent2">
                  <a:shade val="71000"/>
                </a:schemeClr>
              </a:solidFill>
              <a:ln w="19050">
                <a:solidFill>
                  <a:schemeClr val="lt1"/>
                </a:solidFill>
              </a:ln>
              <a:effectLst/>
            </c:spPr>
            <c:extLst>
              <c:ext xmlns:c16="http://schemas.microsoft.com/office/drawing/2014/chart" uri="{C3380CC4-5D6E-409C-BE32-E72D297353CC}">
                <c16:uniqueId val="{00000009-0801-486B-93FE-6B1A142458CD}"/>
              </c:ext>
            </c:extLst>
          </c:dPt>
          <c:dPt>
            <c:idx val="5"/>
            <c:bubble3D val="0"/>
            <c:spPr>
              <a:solidFill>
                <a:schemeClr val="accent2">
                  <a:shade val="79000"/>
                </a:schemeClr>
              </a:solidFill>
              <a:ln w="19050">
                <a:solidFill>
                  <a:schemeClr val="lt1"/>
                </a:solidFill>
              </a:ln>
              <a:effectLst/>
            </c:spPr>
            <c:extLst>
              <c:ext xmlns:c16="http://schemas.microsoft.com/office/drawing/2014/chart" uri="{C3380CC4-5D6E-409C-BE32-E72D297353CC}">
                <c16:uniqueId val="{0000000B-0801-486B-93FE-6B1A142458CD}"/>
              </c:ext>
            </c:extLst>
          </c:dPt>
          <c:dPt>
            <c:idx val="6"/>
            <c:bubble3D val="0"/>
            <c:spPr>
              <a:solidFill>
                <a:schemeClr val="accent2">
                  <a:shade val="87000"/>
                </a:schemeClr>
              </a:solidFill>
              <a:ln w="19050">
                <a:solidFill>
                  <a:schemeClr val="lt1"/>
                </a:solidFill>
              </a:ln>
              <a:effectLst/>
            </c:spPr>
            <c:extLst>
              <c:ext xmlns:c16="http://schemas.microsoft.com/office/drawing/2014/chart" uri="{C3380CC4-5D6E-409C-BE32-E72D297353CC}">
                <c16:uniqueId val="{0000000D-0801-486B-93FE-6B1A142458CD}"/>
              </c:ext>
            </c:extLst>
          </c:dPt>
          <c:dPt>
            <c:idx val="7"/>
            <c:bubble3D val="0"/>
            <c:spPr>
              <a:solidFill>
                <a:schemeClr val="accent2">
                  <a:shade val="95000"/>
                </a:schemeClr>
              </a:solidFill>
              <a:ln w="19050">
                <a:solidFill>
                  <a:schemeClr val="lt1"/>
                </a:solidFill>
              </a:ln>
              <a:effectLst/>
            </c:spPr>
            <c:extLst>
              <c:ext xmlns:c16="http://schemas.microsoft.com/office/drawing/2014/chart" uri="{C3380CC4-5D6E-409C-BE32-E72D297353CC}">
                <c16:uniqueId val="{0000000F-0801-486B-93FE-6B1A142458CD}"/>
              </c:ext>
            </c:extLst>
          </c:dPt>
          <c:dPt>
            <c:idx val="8"/>
            <c:bubble3D val="0"/>
            <c:spPr>
              <a:solidFill>
                <a:schemeClr val="accent2">
                  <a:tint val="96000"/>
                </a:schemeClr>
              </a:solidFill>
              <a:ln w="19050">
                <a:solidFill>
                  <a:schemeClr val="lt1"/>
                </a:solidFill>
              </a:ln>
              <a:effectLst/>
            </c:spPr>
            <c:extLst>
              <c:ext xmlns:c16="http://schemas.microsoft.com/office/drawing/2014/chart" uri="{C3380CC4-5D6E-409C-BE32-E72D297353CC}">
                <c16:uniqueId val="{00000011-0801-486B-93FE-6B1A142458CD}"/>
              </c:ext>
            </c:extLst>
          </c:dPt>
          <c:dPt>
            <c:idx val="9"/>
            <c:bubble3D val="0"/>
            <c:spPr>
              <a:solidFill>
                <a:schemeClr val="accent2">
                  <a:tint val="88000"/>
                </a:schemeClr>
              </a:solidFill>
              <a:ln w="19050">
                <a:solidFill>
                  <a:schemeClr val="lt1"/>
                </a:solidFill>
              </a:ln>
              <a:effectLst/>
            </c:spPr>
            <c:extLst>
              <c:ext xmlns:c16="http://schemas.microsoft.com/office/drawing/2014/chart" uri="{C3380CC4-5D6E-409C-BE32-E72D297353CC}">
                <c16:uniqueId val="{00000013-0801-486B-93FE-6B1A142458CD}"/>
              </c:ext>
            </c:extLst>
          </c:dPt>
          <c:dPt>
            <c:idx val="10"/>
            <c:bubble3D val="0"/>
            <c:spPr>
              <a:solidFill>
                <a:schemeClr val="accent2">
                  <a:tint val="80000"/>
                </a:schemeClr>
              </a:solidFill>
              <a:ln w="19050">
                <a:solidFill>
                  <a:schemeClr val="lt1"/>
                </a:solidFill>
              </a:ln>
              <a:effectLst/>
            </c:spPr>
            <c:extLst>
              <c:ext xmlns:c16="http://schemas.microsoft.com/office/drawing/2014/chart" uri="{C3380CC4-5D6E-409C-BE32-E72D297353CC}">
                <c16:uniqueId val="{00000015-0801-486B-93FE-6B1A142458CD}"/>
              </c:ext>
            </c:extLst>
          </c:dPt>
          <c:dPt>
            <c:idx val="11"/>
            <c:bubble3D val="0"/>
            <c:spPr>
              <a:solidFill>
                <a:schemeClr val="accent2">
                  <a:tint val="72000"/>
                </a:schemeClr>
              </a:solidFill>
              <a:ln w="19050">
                <a:solidFill>
                  <a:schemeClr val="lt1"/>
                </a:solidFill>
              </a:ln>
              <a:effectLst/>
            </c:spPr>
            <c:extLst>
              <c:ext xmlns:c16="http://schemas.microsoft.com/office/drawing/2014/chart" uri="{C3380CC4-5D6E-409C-BE32-E72D297353CC}">
                <c16:uniqueId val="{00000017-0801-486B-93FE-6B1A142458CD}"/>
              </c:ext>
            </c:extLst>
          </c:dPt>
          <c:dPt>
            <c:idx val="12"/>
            <c:bubble3D val="0"/>
            <c:spPr>
              <a:solidFill>
                <a:schemeClr val="accent2">
                  <a:tint val="63000"/>
                </a:schemeClr>
              </a:solidFill>
              <a:ln w="19050">
                <a:solidFill>
                  <a:schemeClr val="lt1"/>
                </a:solidFill>
              </a:ln>
              <a:effectLst/>
            </c:spPr>
            <c:extLst>
              <c:ext xmlns:c16="http://schemas.microsoft.com/office/drawing/2014/chart" uri="{C3380CC4-5D6E-409C-BE32-E72D297353CC}">
                <c16:uniqueId val="{00000019-0801-486B-93FE-6B1A142458CD}"/>
              </c:ext>
            </c:extLst>
          </c:dPt>
          <c:dPt>
            <c:idx val="13"/>
            <c:bubble3D val="0"/>
            <c:spPr>
              <a:solidFill>
                <a:schemeClr val="accent2">
                  <a:tint val="55000"/>
                </a:schemeClr>
              </a:solidFill>
              <a:ln w="19050">
                <a:solidFill>
                  <a:schemeClr val="lt1"/>
                </a:solidFill>
              </a:ln>
              <a:effectLst/>
            </c:spPr>
            <c:extLst>
              <c:ext xmlns:c16="http://schemas.microsoft.com/office/drawing/2014/chart" uri="{C3380CC4-5D6E-409C-BE32-E72D297353CC}">
                <c16:uniqueId val="{0000001B-0801-486B-93FE-6B1A142458CD}"/>
              </c:ext>
            </c:extLst>
          </c:dPt>
          <c:dPt>
            <c:idx val="14"/>
            <c:bubble3D val="0"/>
            <c:spPr>
              <a:solidFill>
                <a:schemeClr val="accent2">
                  <a:tint val="47000"/>
                </a:schemeClr>
              </a:solidFill>
              <a:ln w="19050">
                <a:solidFill>
                  <a:schemeClr val="lt1"/>
                </a:solidFill>
              </a:ln>
              <a:effectLst/>
            </c:spPr>
            <c:extLst>
              <c:ext xmlns:c16="http://schemas.microsoft.com/office/drawing/2014/chart" uri="{C3380CC4-5D6E-409C-BE32-E72D297353CC}">
                <c16:uniqueId val="{0000001D-0801-486B-93FE-6B1A142458CD}"/>
              </c:ext>
            </c:extLst>
          </c:dPt>
          <c:dPt>
            <c:idx val="15"/>
            <c:bubble3D val="0"/>
            <c:spPr>
              <a:solidFill>
                <a:schemeClr val="accent2">
                  <a:tint val="39000"/>
                </a:schemeClr>
              </a:solidFill>
              <a:ln w="19050">
                <a:solidFill>
                  <a:schemeClr val="lt1"/>
                </a:solidFill>
              </a:ln>
              <a:effectLst/>
            </c:spPr>
            <c:extLst>
              <c:ext xmlns:c16="http://schemas.microsoft.com/office/drawing/2014/chart" uri="{C3380CC4-5D6E-409C-BE32-E72D297353CC}">
                <c16:uniqueId val="{0000001F-0801-486B-93FE-6B1A142458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Table'!$M$3:$M$19</c:f>
              <c:strCache>
                <c:ptCount val="16"/>
                <c:pt idx="0">
                  <c:v>Action</c:v>
                </c:pt>
                <c:pt idx="1">
                  <c:v>Action/Comedy</c:v>
                </c:pt>
                <c:pt idx="2">
                  <c:v>Action/Crime</c:v>
                </c:pt>
                <c:pt idx="3">
                  <c:v>Action/Drama</c:v>
                </c:pt>
                <c:pt idx="4">
                  <c:v>Action/Sports</c:v>
                </c:pt>
                <c:pt idx="5">
                  <c:v>Action/Thriller</c:v>
                </c:pt>
                <c:pt idx="6">
                  <c:v>Action/Western</c:v>
                </c:pt>
                <c:pt idx="7">
                  <c:v>Drama</c:v>
                </c:pt>
                <c:pt idx="8">
                  <c:v>Family</c:v>
                </c:pt>
                <c:pt idx="9">
                  <c:v>Family/Drama</c:v>
                </c:pt>
                <c:pt idx="10">
                  <c:v>Fantasy</c:v>
                </c:pt>
                <c:pt idx="11">
                  <c:v>Fantasy/Action</c:v>
                </c:pt>
                <c:pt idx="12">
                  <c:v>Political</c:v>
                </c:pt>
                <c:pt idx="13">
                  <c:v>Romance</c:v>
                </c:pt>
                <c:pt idx="14">
                  <c:v>Romance/Drama</c:v>
                </c:pt>
                <c:pt idx="15">
                  <c:v>Thriller</c:v>
                </c:pt>
              </c:strCache>
            </c:strRef>
          </c:cat>
          <c:val>
            <c:numRef>
              <c:f>'Pivot Table'!$N$3:$N$19</c:f>
              <c:numCache>
                <c:formatCode>General</c:formatCode>
                <c:ptCount val="16"/>
                <c:pt idx="0">
                  <c:v>6</c:v>
                </c:pt>
                <c:pt idx="1">
                  <c:v>3</c:v>
                </c:pt>
                <c:pt idx="2">
                  <c:v>1</c:v>
                </c:pt>
                <c:pt idx="3">
                  <c:v>3</c:v>
                </c:pt>
                <c:pt idx="4">
                  <c:v>1</c:v>
                </c:pt>
                <c:pt idx="5">
                  <c:v>2</c:v>
                </c:pt>
                <c:pt idx="6">
                  <c:v>1</c:v>
                </c:pt>
                <c:pt idx="7">
                  <c:v>1</c:v>
                </c:pt>
                <c:pt idx="8">
                  <c:v>1</c:v>
                </c:pt>
                <c:pt idx="9">
                  <c:v>2</c:v>
                </c:pt>
                <c:pt idx="10">
                  <c:v>1</c:v>
                </c:pt>
                <c:pt idx="11">
                  <c:v>1</c:v>
                </c:pt>
                <c:pt idx="12">
                  <c:v>1</c:v>
                </c:pt>
                <c:pt idx="13">
                  <c:v>2</c:v>
                </c:pt>
                <c:pt idx="14">
                  <c:v>1</c:v>
                </c:pt>
                <c:pt idx="15">
                  <c:v>1</c:v>
                </c:pt>
              </c:numCache>
            </c:numRef>
          </c:val>
          <c:extLst>
            <c:ext xmlns:c16="http://schemas.microsoft.com/office/drawing/2014/chart" uri="{C3380CC4-5D6E-409C-BE32-E72D297353CC}">
              <c16:uniqueId val="{00000020-0801-486B-93FE-6B1A142458C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6.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2.xml"/><Relationship Id="rId5" Type="http://schemas.openxmlformats.org/officeDocument/2006/relationships/image" Target="../media/image4.png"/><Relationship Id="rId10" Type="http://schemas.openxmlformats.org/officeDocument/2006/relationships/image" Target="../media/image9.svg"/><Relationship Id="rId4" Type="http://schemas.openxmlformats.org/officeDocument/2006/relationships/chart" Target="../charts/chart1.xml"/><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7</xdr:col>
      <xdr:colOff>1097280</xdr:colOff>
      <xdr:row>30</xdr:row>
      <xdr:rowOff>167640</xdr:rowOff>
    </xdr:from>
    <xdr:ext cx="184731" cy="264560"/>
    <xdr:sp macro="" textlink="">
      <xdr:nvSpPr>
        <xdr:cNvPr id="6" name="TextBox 5">
          <a:extLst>
            <a:ext uri="{FF2B5EF4-FFF2-40B4-BE49-F238E27FC236}">
              <a16:creationId xmlns:a16="http://schemas.microsoft.com/office/drawing/2014/main" id="{37FB88D9-7D7F-2B16-31D5-6C9588511BB7}"/>
            </a:ext>
          </a:extLst>
        </xdr:cNvPr>
        <xdr:cNvSpPr txBox="1"/>
      </xdr:nvSpPr>
      <xdr:spPr>
        <a:xfrm>
          <a:off x="7719060" y="5654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514865</xdr:colOff>
      <xdr:row>6</xdr:row>
      <xdr:rowOff>0</xdr:rowOff>
    </xdr:from>
    <xdr:to>
      <xdr:col>28</xdr:col>
      <xdr:colOff>601980</xdr:colOff>
      <xdr:row>63</xdr:row>
      <xdr:rowOff>102973</xdr:rowOff>
    </xdr:to>
    <xdr:sp macro="" textlink="">
      <xdr:nvSpPr>
        <xdr:cNvPr id="26" name="Rectangle 25">
          <a:extLst>
            <a:ext uri="{FF2B5EF4-FFF2-40B4-BE49-F238E27FC236}">
              <a16:creationId xmlns:a16="http://schemas.microsoft.com/office/drawing/2014/main" id="{9EAFBC1F-B343-4CDD-BB6A-9B130D3AB3F3}"/>
            </a:ext>
          </a:extLst>
        </xdr:cNvPr>
        <xdr:cNvSpPr/>
      </xdr:nvSpPr>
      <xdr:spPr>
        <a:xfrm>
          <a:off x="3604054" y="1112108"/>
          <a:ext cx="14297385" cy="10668000"/>
        </a:xfrm>
        <a:prstGeom prst="rect">
          <a:avLst/>
        </a:prstGeom>
        <a:solidFill>
          <a:schemeClr val="accent2">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266700</xdr:colOff>
      <xdr:row>6</xdr:row>
      <xdr:rowOff>60960</xdr:rowOff>
    </xdr:from>
    <xdr:to>
      <xdr:col>26</xdr:col>
      <xdr:colOff>419100</xdr:colOff>
      <xdr:row>9</xdr:row>
      <xdr:rowOff>114300</xdr:rowOff>
    </xdr:to>
    <xdr:sp macro="" textlink="">
      <xdr:nvSpPr>
        <xdr:cNvPr id="27" name="Rectangle 26">
          <a:extLst>
            <a:ext uri="{FF2B5EF4-FFF2-40B4-BE49-F238E27FC236}">
              <a16:creationId xmlns:a16="http://schemas.microsoft.com/office/drawing/2014/main" id="{7BE26B84-C8B9-41EA-8663-AA47A80B3808}"/>
            </a:ext>
          </a:extLst>
        </xdr:cNvPr>
        <xdr:cNvSpPr/>
      </xdr:nvSpPr>
      <xdr:spPr>
        <a:xfrm>
          <a:off x="7581900" y="1178560"/>
          <a:ext cx="8686800" cy="61214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2">
                  <a:lumMod val="50000"/>
                </a:schemeClr>
              </a:solidFill>
              <a:latin typeface="Times New Roman" panose="02020603050405020304" pitchFamily="18" charset="0"/>
              <a:cs typeface="Times New Roman" panose="02020603050405020304" pitchFamily="18" charset="0"/>
            </a:rPr>
            <a:t>Mahesh</a:t>
          </a:r>
          <a:r>
            <a:rPr lang="en-IN" sz="2400">
              <a:solidFill>
                <a:schemeClr val="accent5">
                  <a:lumMod val="50000"/>
                </a:schemeClr>
              </a:solidFill>
              <a:latin typeface="Times New Roman" panose="02020603050405020304" pitchFamily="18" charset="0"/>
              <a:cs typeface="Times New Roman" panose="02020603050405020304" pitchFamily="18" charset="0"/>
            </a:rPr>
            <a:t> </a:t>
          </a:r>
          <a:r>
            <a:rPr lang="en-IN" sz="2400" b="1">
              <a:solidFill>
                <a:schemeClr val="accent2">
                  <a:lumMod val="50000"/>
                </a:schemeClr>
              </a:solidFill>
              <a:latin typeface="Times New Roman" panose="02020603050405020304" pitchFamily="18" charset="0"/>
              <a:cs typeface="Times New Roman" panose="02020603050405020304" pitchFamily="18" charset="0"/>
            </a:rPr>
            <a:t>Babu</a:t>
          </a:r>
          <a:r>
            <a:rPr lang="en-IN" sz="2400">
              <a:solidFill>
                <a:schemeClr val="accent5">
                  <a:lumMod val="50000"/>
                </a:schemeClr>
              </a:solidFill>
              <a:latin typeface="Times New Roman" panose="02020603050405020304" pitchFamily="18" charset="0"/>
              <a:cs typeface="Times New Roman" panose="02020603050405020304" pitchFamily="18" charset="0"/>
            </a:rPr>
            <a:t> </a:t>
          </a:r>
          <a:r>
            <a:rPr lang="en-IN" sz="2400" b="1">
              <a:solidFill>
                <a:schemeClr val="accent2">
                  <a:lumMod val="50000"/>
                </a:schemeClr>
              </a:solidFill>
              <a:latin typeface="Times New Roman" panose="02020603050405020304" pitchFamily="18" charset="0"/>
              <a:cs typeface="Times New Roman" panose="02020603050405020304" pitchFamily="18" charset="0"/>
            </a:rPr>
            <a:t>Movie</a:t>
          </a:r>
          <a:r>
            <a:rPr lang="en-IN" sz="2400">
              <a:solidFill>
                <a:schemeClr val="accent5">
                  <a:lumMod val="50000"/>
                </a:schemeClr>
              </a:solidFill>
              <a:latin typeface="Times New Roman" panose="02020603050405020304" pitchFamily="18" charset="0"/>
              <a:cs typeface="Times New Roman" panose="02020603050405020304" pitchFamily="18" charset="0"/>
            </a:rPr>
            <a:t> </a:t>
          </a:r>
          <a:r>
            <a:rPr lang="en-IN" sz="2400" b="1">
              <a:solidFill>
                <a:schemeClr val="accent2">
                  <a:lumMod val="50000"/>
                </a:schemeClr>
              </a:solidFill>
              <a:latin typeface="Times New Roman" panose="02020603050405020304" pitchFamily="18" charset="0"/>
              <a:cs typeface="Times New Roman" panose="02020603050405020304" pitchFamily="18" charset="0"/>
            </a:rPr>
            <a:t>Performance</a:t>
          </a:r>
          <a:r>
            <a:rPr lang="en-IN" sz="2400">
              <a:solidFill>
                <a:schemeClr val="accent5">
                  <a:lumMod val="50000"/>
                </a:schemeClr>
              </a:solidFill>
              <a:latin typeface="Times New Roman" panose="02020603050405020304" pitchFamily="18" charset="0"/>
              <a:cs typeface="Times New Roman" panose="02020603050405020304" pitchFamily="18" charset="0"/>
            </a:rPr>
            <a:t> </a:t>
          </a:r>
          <a:r>
            <a:rPr lang="en-IN" sz="2400" b="1">
              <a:solidFill>
                <a:schemeClr val="accent2">
                  <a:lumMod val="50000"/>
                </a:schemeClr>
              </a:solidFill>
              <a:latin typeface="Times New Roman" panose="02020603050405020304" pitchFamily="18" charset="0"/>
              <a:cs typeface="Times New Roman" panose="02020603050405020304" pitchFamily="18" charset="0"/>
            </a:rPr>
            <a:t>Dashboard</a:t>
          </a:r>
        </a:p>
      </xdr:txBody>
    </xdr:sp>
    <xdr:clientData/>
  </xdr:twoCellAnchor>
  <xdr:twoCellAnchor editAs="oneCell">
    <xdr:from>
      <xdr:col>12</xdr:col>
      <xdr:colOff>525780</xdr:colOff>
      <xdr:row>6</xdr:row>
      <xdr:rowOff>45720</xdr:rowOff>
    </xdr:from>
    <xdr:to>
      <xdr:col>14</xdr:col>
      <xdr:colOff>220980</xdr:colOff>
      <xdr:row>9</xdr:row>
      <xdr:rowOff>144780</xdr:rowOff>
    </xdr:to>
    <xdr:pic>
      <xdr:nvPicPr>
        <xdr:cNvPr id="28" name="Graphic 27" descr="Clapper board with solid fill">
          <a:extLst>
            <a:ext uri="{FF2B5EF4-FFF2-40B4-BE49-F238E27FC236}">
              <a16:creationId xmlns:a16="http://schemas.microsoft.com/office/drawing/2014/main" id="{181AE501-152E-42A9-BFB6-3011048F605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40980" y="1163320"/>
          <a:ext cx="914400" cy="657860"/>
        </a:xfrm>
        <a:prstGeom prst="rect">
          <a:avLst/>
        </a:prstGeom>
      </xdr:spPr>
    </xdr:pic>
    <xdr:clientData/>
  </xdr:twoCellAnchor>
  <xdr:twoCellAnchor editAs="oneCell">
    <xdr:from>
      <xdr:col>24</xdr:col>
      <xdr:colOff>342900</xdr:colOff>
      <xdr:row>6</xdr:row>
      <xdr:rowOff>15240</xdr:rowOff>
    </xdr:from>
    <xdr:to>
      <xdr:col>26</xdr:col>
      <xdr:colOff>38100</xdr:colOff>
      <xdr:row>9</xdr:row>
      <xdr:rowOff>129540</xdr:rowOff>
    </xdr:to>
    <xdr:pic>
      <xdr:nvPicPr>
        <xdr:cNvPr id="29" name="Graphic 28" descr="Clapper board with solid fill">
          <a:extLst>
            <a:ext uri="{FF2B5EF4-FFF2-40B4-BE49-F238E27FC236}">
              <a16:creationId xmlns:a16="http://schemas.microsoft.com/office/drawing/2014/main" id="{CADEDDB3-88BD-4C29-B334-6D84445C227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3"/>
            </a:ext>
          </a:extLst>
        </a:blip>
        <a:stretch>
          <a:fillRect/>
        </a:stretch>
      </xdr:blipFill>
      <xdr:spPr>
        <a:xfrm>
          <a:off x="14973300" y="1132840"/>
          <a:ext cx="914400" cy="673100"/>
        </a:xfrm>
        <a:prstGeom prst="rect">
          <a:avLst/>
        </a:prstGeom>
      </xdr:spPr>
    </xdr:pic>
    <xdr:clientData/>
  </xdr:twoCellAnchor>
  <xdr:twoCellAnchor>
    <xdr:from>
      <xdr:col>10</xdr:col>
      <xdr:colOff>274320</xdr:colOff>
      <xdr:row>17</xdr:row>
      <xdr:rowOff>83820</xdr:rowOff>
    </xdr:from>
    <xdr:to>
      <xdr:col>28</xdr:col>
      <xdr:colOff>335280</xdr:colOff>
      <xdr:row>31</xdr:row>
      <xdr:rowOff>91439</xdr:rowOff>
    </xdr:to>
    <xdr:graphicFrame macro="">
      <xdr:nvGraphicFramePr>
        <xdr:cNvPr id="30" name="Chart 29">
          <a:extLst>
            <a:ext uri="{FF2B5EF4-FFF2-40B4-BE49-F238E27FC236}">
              <a16:creationId xmlns:a16="http://schemas.microsoft.com/office/drawing/2014/main" id="{5CA9A33E-A4AC-4818-B0A0-7E2858A94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251460</xdr:colOff>
      <xdr:row>10</xdr:row>
      <xdr:rowOff>144779</xdr:rowOff>
    </xdr:from>
    <xdr:to>
      <xdr:col>15</xdr:col>
      <xdr:colOff>601980</xdr:colOff>
      <xdr:row>16</xdr:row>
      <xdr:rowOff>114299</xdr:rowOff>
    </xdr:to>
    <xdr:sp macro="" textlink="">
      <xdr:nvSpPr>
        <xdr:cNvPr id="31" name="Rectangle: Rounded Corners 30">
          <a:extLst>
            <a:ext uri="{FF2B5EF4-FFF2-40B4-BE49-F238E27FC236}">
              <a16:creationId xmlns:a16="http://schemas.microsoft.com/office/drawing/2014/main" id="{58FD24D7-F2F4-4FA1-88EF-8DE7C5E099FE}"/>
            </a:ext>
          </a:extLst>
        </xdr:cNvPr>
        <xdr:cNvSpPr/>
      </xdr:nvSpPr>
      <xdr:spPr>
        <a:xfrm>
          <a:off x="6347460" y="2007446"/>
          <a:ext cx="3398520" cy="108712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Times New Roman" panose="02020603050405020304" pitchFamily="18" charset="0"/>
              <a:cs typeface="Times New Roman" panose="02020603050405020304" pitchFamily="18" charset="0"/>
            </a:rPr>
            <a:t>TOTAL</a:t>
          </a:r>
          <a:r>
            <a:rPr lang="en-IN" sz="2400" baseline="0">
              <a:latin typeface="Times New Roman" panose="02020603050405020304" pitchFamily="18" charset="0"/>
              <a:cs typeface="Times New Roman" panose="02020603050405020304" pitchFamily="18" charset="0"/>
            </a:rPr>
            <a:t> MOVIES</a:t>
          </a:r>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16</xdr:col>
      <xdr:colOff>274320</xdr:colOff>
      <xdr:row>10</xdr:row>
      <xdr:rowOff>144779</xdr:rowOff>
    </xdr:from>
    <xdr:to>
      <xdr:col>22</xdr:col>
      <xdr:colOff>205740</xdr:colOff>
      <xdr:row>16</xdr:row>
      <xdr:rowOff>129539</xdr:rowOff>
    </xdr:to>
    <xdr:sp macro="" textlink="">
      <xdr:nvSpPr>
        <xdr:cNvPr id="32" name="Rectangle: Rounded Corners 31">
          <a:extLst>
            <a:ext uri="{FF2B5EF4-FFF2-40B4-BE49-F238E27FC236}">
              <a16:creationId xmlns:a16="http://schemas.microsoft.com/office/drawing/2014/main" id="{A58AF9EE-B768-4E70-96E4-87BA1EFC0326}"/>
            </a:ext>
          </a:extLst>
        </xdr:cNvPr>
        <xdr:cNvSpPr/>
      </xdr:nvSpPr>
      <xdr:spPr>
        <a:xfrm>
          <a:off x="10027920" y="2007446"/>
          <a:ext cx="3589020" cy="110236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Times New Roman" panose="02020603050405020304" pitchFamily="18" charset="0"/>
              <a:cs typeface="Times New Roman" panose="02020603050405020304" pitchFamily="18" charset="0"/>
            </a:rPr>
            <a:t>TOTAL BOX OFFICE</a:t>
          </a:r>
        </a:p>
      </xdr:txBody>
    </xdr:sp>
    <xdr:clientData/>
  </xdr:twoCellAnchor>
  <xdr:twoCellAnchor>
    <xdr:from>
      <xdr:col>22</xdr:col>
      <xdr:colOff>487680</xdr:colOff>
      <xdr:row>10</xdr:row>
      <xdr:rowOff>152399</xdr:rowOff>
    </xdr:from>
    <xdr:to>
      <xdr:col>28</xdr:col>
      <xdr:colOff>259080</xdr:colOff>
      <xdr:row>16</xdr:row>
      <xdr:rowOff>137159</xdr:rowOff>
    </xdr:to>
    <xdr:sp macro="" textlink="">
      <xdr:nvSpPr>
        <xdr:cNvPr id="33" name="Rectangle: Rounded Corners 32">
          <a:extLst>
            <a:ext uri="{FF2B5EF4-FFF2-40B4-BE49-F238E27FC236}">
              <a16:creationId xmlns:a16="http://schemas.microsoft.com/office/drawing/2014/main" id="{D17D3A20-93E8-46F5-889F-FBCB495BCB13}"/>
            </a:ext>
          </a:extLst>
        </xdr:cNvPr>
        <xdr:cNvSpPr/>
      </xdr:nvSpPr>
      <xdr:spPr>
        <a:xfrm>
          <a:off x="13898880" y="2015066"/>
          <a:ext cx="3429000" cy="110236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Times New Roman" panose="02020603050405020304" pitchFamily="18" charset="0"/>
              <a:cs typeface="Times New Roman" panose="02020603050405020304" pitchFamily="18" charset="0"/>
            </a:rPr>
            <a:t>AVG.RATING</a:t>
          </a:r>
        </a:p>
      </xdr:txBody>
    </xdr:sp>
    <xdr:clientData/>
  </xdr:twoCellAnchor>
  <xdr:twoCellAnchor>
    <xdr:from>
      <xdr:col>12</xdr:col>
      <xdr:colOff>365760</xdr:colOff>
      <xdr:row>13</xdr:row>
      <xdr:rowOff>45719</xdr:rowOff>
    </xdr:from>
    <xdr:to>
      <xdr:col>15</xdr:col>
      <xdr:colOff>121920</xdr:colOff>
      <xdr:row>16</xdr:row>
      <xdr:rowOff>76199</xdr:rowOff>
    </xdr:to>
    <xdr:sp macro="" textlink="">
      <xdr:nvSpPr>
        <xdr:cNvPr id="34" name="TextBox 33">
          <a:extLst>
            <a:ext uri="{FF2B5EF4-FFF2-40B4-BE49-F238E27FC236}">
              <a16:creationId xmlns:a16="http://schemas.microsoft.com/office/drawing/2014/main" id="{631B1FB2-E024-4FC3-95CF-000B619D4253}"/>
            </a:ext>
          </a:extLst>
        </xdr:cNvPr>
        <xdr:cNvSpPr txBox="1"/>
      </xdr:nvSpPr>
      <xdr:spPr>
        <a:xfrm>
          <a:off x="7680960" y="2467186"/>
          <a:ext cx="1584960" cy="589280"/>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28</a:t>
          </a:r>
        </a:p>
      </xdr:txBody>
    </xdr:sp>
    <xdr:clientData/>
  </xdr:twoCellAnchor>
  <xdr:twoCellAnchor editAs="oneCell">
    <xdr:from>
      <xdr:col>10</xdr:col>
      <xdr:colOff>381000</xdr:colOff>
      <xdr:row>13</xdr:row>
      <xdr:rowOff>30479</xdr:rowOff>
    </xdr:from>
    <xdr:to>
      <xdr:col>12</xdr:col>
      <xdr:colOff>76200</xdr:colOff>
      <xdr:row>17</xdr:row>
      <xdr:rowOff>30480</xdr:rowOff>
    </xdr:to>
    <xdr:pic>
      <xdr:nvPicPr>
        <xdr:cNvPr id="35" name="Graphic 34" descr="Theatre with solid fill">
          <a:extLst>
            <a:ext uri="{FF2B5EF4-FFF2-40B4-BE49-F238E27FC236}">
              <a16:creationId xmlns:a16="http://schemas.microsoft.com/office/drawing/2014/main" id="{61ABC252-B2A7-466E-9A9D-D6F10C657D0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477000" y="2451946"/>
          <a:ext cx="914400" cy="745067"/>
        </a:xfrm>
        <a:prstGeom prst="rect">
          <a:avLst/>
        </a:prstGeom>
      </xdr:spPr>
    </xdr:pic>
    <xdr:clientData/>
  </xdr:twoCellAnchor>
  <xdr:twoCellAnchor editAs="oneCell">
    <xdr:from>
      <xdr:col>16</xdr:col>
      <xdr:colOff>441960</xdr:colOff>
      <xdr:row>12</xdr:row>
      <xdr:rowOff>152400</xdr:rowOff>
    </xdr:from>
    <xdr:to>
      <xdr:col>18</xdr:col>
      <xdr:colOff>137160</xdr:colOff>
      <xdr:row>16</xdr:row>
      <xdr:rowOff>106679</xdr:rowOff>
    </xdr:to>
    <xdr:pic>
      <xdr:nvPicPr>
        <xdr:cNvPr id="36" name="Graphic 35" descr="Coins with solid fill">
          <a:extLst>
            <a:ext uri="{FF2B5EF4-FFF2-40B4-BE49-F238E27FC236}">
              <a16:creationId xmlns:a16="http://schemas.microsoft.com/office/drawing/2014/main" id="{130F3755-0753-4AD2-B823-85D6C060C38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195560" y="2387600"/>
          <a:ext cx="914400" cy="699346"/>
        </a:xfrm>
        <a:prstGeom prst="rect">
          <a:avLst/>
        </a:prstGeom>
      </xdr:spPr>
    </xdr:pic>
    <xdr:clientData/>
  </xdr:twoCellAnchor>
  <xdr:twoCellAnchor editAs="oneCell">
    <xdr:from>
      <xdr:col>22</xdr:col>
      <xdr:colOff>518160</xdr:colOff>
      <xdr:row>11</xdr:row>
      <xdr:rowOff>106680</xdr:rowOff>
    </xdr:from>
    <xdr:to>
      <xdr:col>24</xdr:col>
      <xdr:colOff>213360</xdr:colOff>
      <xdr:row>16</xdr:row>
      <xdr:rowOff>106679</xdr:rowOff>
    </xdr:to>
    <xdr:pic>
      <xdr:nvPicPr>
        <xdr:cNvPr id="37" name="Graphic 36" descr="Star with solid fill">
          <a:extLst>
            <a:ext uri="{FF2B5EF4-FFF2-40B4-BE49-F238E27FC236}">
              <a16:creationId xmlns:a16="http://schemas.microsoft.com/office/drawing/2014/main" id="{E5FE63BC-6B78-49CF-9DA4-B363989A099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929360" y="2155613"/>
          <a:ext cx="914400" cy="931333"/>
        </a:xfrm>
        <a:prstGeom prst="rect">
          <a:avLst/>
        </a:prstGeom>
      </xdr:spPr>
    </xdr:pic>
    <xdr:clientData/>
  </xdr:twoCellAnchor>
  <xdr:twoCellAnchor>
    <xdr:from>
      <xdr:col>18</xdr:col>
      <xdr:colOff>259080</xdr:colOff>
      <xdr:row>13</xdr:row>
      <xdr:rowOff>106679</xdr:rowOff>
    </xdr:from>
    <xdr:to>
      <xdr:col>22</xdr:col>
      <xdr:colOff>0</xdr:colOff>
      <xdr:row>15</xdr:row>
      <xdr:rowOff>167640</xdr:rowOff>
    </xdr:to>
    <xdr:sp macro="" textlink="">
      <xdr:nvSpPr>
        <xdr:cNvPr id="38" name="TextBox 37">
          <a:extLst>
            <a:ext uri="{FF2B5EF4-FFF2-40B4-BE49-F238E27FC236}">
              <a16:creationId xmlns:a16="http://schemas.microsoft.com/office/drawing/2014/main" id="{72DCFF5B-F1EE-47C1-8E12-FB126026A75C}"/>
            </a:ext>
          </a:extLst>
        </xdr:cNvPr>
        <xdr:cNvSpPr txBox="1"/>
      </xdr:nvSpPr>
      <xdr:spPr>
        <a:xfrm>
          <a:off x="11231880" y="2528146"/>
          <a:ext cx="2179320" cy="433494"/>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bg1"/>
              </a:solidFill>
              <a:effectLst/>
              <a:latin typeface="+mn-lt"/>
              <a:ea typeface="+mn-ea"/>
              <a:cs typeface="+mn-cs"/>
            </a:rPr>
            <a:t>2261</a:t>
          </a:r>
          <a:r>
            <a:rPr lang="en-IN" sz="2400" b="1">
              <a:solidFill>
                <a:schemeClr val="bg1"/>
              </a:solidFill>
              <a:effectLst/>
            </a:rPr>
            <a:t>  CR</a:t>
          </a:r>
          <a:endParaRPr lang="en-IN" sz="2400" b="1">
            <a:solidFill>
              <a:schemeClr val="bg1"/>
            </a:solidFill>
          </a:endParaRPr>
        </a:p>
      </xdr:txBody>
    </xdr:sp>
    <xdr:clientData/>
  </xdr:twoCellAnchor>
  <xdr:twoCellAnchor>
    <xdr:from>
      <xdr:col>10</xdr:col>
      <xdr:colOff>244531</xdr:colOff>
      <xdr:row>32</xdr:row>
      <xdr:rowOff>74341</xdr:rowOff>
    </xdr:from>
    <xdr:to>
      <xdr:col>20</xdr:col>
      <xdr:colOff>207783</xdr:colOff>
      <xdr:row>62</xdr:row>
      <xdr:rowOff>55756</xdr:rowOff>
    </xdr:to>
    <xdr:graphicFrame macro="">
      <xdr:nvGraphicFramePr>
        <xdr:cNvPr id="39" name="Chart 38">
          <a:extLst>
            <a:ext uri="{FF2B5EF4-FFF2-40B4-BE49-F238E27FC236}">
              <a16:creationId xmlns:a16="http://schemas.microsoft.com/office/drawing/2014/main" id="{D569BC08-DE68-469B-87F5-AFE88B21B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319297</xdr:colOff>
      <xdr:row>47</xdr:row>
      <xdr:rowOff>148682</xdr:rowOff>
    </xdr:from>
    <xdr:to>
      <xdr:col>28</xdr:col>
      <xdr:colOff>375053</xdr:colOff>
      <xdr:row>62</xdr:row>
      <xdr:rowOff>95250</xdr:rowOff>
    </xdr:to>
    <xdr:graphicFrame macro="">
      <xdr:nvGraphicFramePr>
        <xdr:cNvPr id="40" name="Chart 39">
          <a:extLst>
            <a:ext uri="{FF2B5EF4-FFF2-40B4-BE49-F238E27FC236}">
              <a16:creationId xmlns:a16="http://schemas.microsoft.com/office/drawing/2014/main" id="{4D6751A1-1379-4C2F-B3B0-67F55C1E7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319296</xdr:colOff>
      <xdr:row>32</xdr:row>
      <xdr:rowOff>84667</xdr:rowOff>
    </xdr:from>
    <xdr:to>
      <xdr:col>28</xdr:col>
      <xdr:colOff>356467</xdr:colOff>
      <xdr:row>47</xdr:row>
      <xdr:rowOff>97371</xdr:rowOff>
    </xdr:to>
    <xdr:graphicFrame macro="">
      <xdr:nvGraphicFramePr>
        <xdr:cNvPr id="41" name="Chart 40">
          <a:extLst>
            <a:ext uri="{FF2B5EF4-FFF2-40B4-BE49-F238E27FC236}">
              <a16:creationId xmlns:a16="http://schemas.microsoft.com/office/drawing/2014/main" id="{5D28AC48-9AE7-4053-96DC-E09F719DD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583969</xdr:colOff>
      <xdr:row>13</xdr:row>
      <xdr:rowOff>69271</xdr:rowOff>
    </xdr:from>
    <xdr:to>
      <xdr:col>26</xdr:col>
      <xdr:colOff>286096</xdr:colOff>
      <xdr:row>16</xdr:row>
      <xdr:rowOff>34635</xdr:rowOff>
    </xdr:to>
    <xdr:sp macro="" textlink="">
      <xdr:nvSpPr>
        <xdr:cNvPr id="42" name="TextBox 41">
          <a:extLst>
            <a:ext uri="{FF2B5EF4-FFF2-40B4-BE49-F238E27FC236}">
              <a16:creationId xmlns:a16="http://schemas.microsoft.com/office/drawing/2014/main" id="{B823217E-854F-4EF3-8C5C-B7E2A375B807}"/>
            </a:ext>
          </a:extLst>
        </xdr:cNvPr>
        <xdr:cNvSpPr txBox="1"/>
      </xdr:nvSpPr>
      <xdr:spPr>
        <a:xfrm>
          <a:off x="15214369" y="2490738"/>
          <a:ext cx="921327" cy="524164"/>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bg1"/>
              </a:solidFill>
              <a:effectLst/>
              <a:latin typeface="+mn-lt"/>
              <a:ea typeface="+mn-ea"/>
              <a:cs typeface="+mn-cs"/>
            </a:rPr>
            <a:t>6.7</a:t>
          </a:r>
          <a:r>
            <a:rPr lang="en-IN">
              <a:effectLst/>
            </a:rPr>
            <a:t> </a:t>
          </a:r>
          <a:endParaRPr lang="en-IN" sz="1100"/>
        </a:p>
      </xdr:txBody>
    </xdr:sp>
    <xdr:clientData/>
  </xdr:twoCellAnchor>
  <xdr:twoCellAnchor>
    <xdr:from>
      <xdr:col>34</xdr:col>
      <xdr:colOff>71351</xdr:colOff>
      <xdr:row>37</xdr:row>
      <xdr:rowOff>103908</xdr:rowOff>
    </xdr:from>
    <xdr:to>
      <xdr:col>34</xdr:col>
      <xdr:colOff>279170</xdr:colOff>
      <xdr:row>37</xdr:row>
      <xdr:rowOff>149627</xdr:rowOff>
    </xdr:to>
    <xdr:sp macro="" textlink="">
      <xdr:nvSpPr>
        <xdr:cNvPr id="43" name="TextBox 42">
          <a:extLst>
            <a:ext uri="{FF2B5EF4-FFF2-40B4-BE49-F238E27FC236}">
              <a16:creationId xmlns:a16="http://schemas.microsoft.com/office/drawing/2014/main" id="{FEE92CC8-FE71-4F1B-AA2E-9B4DB5C74672}"/>
            </a:ext>
          </a:extLst>
        </xdr:cNvPr>
        <xdr:cNvSpPr txBox="1"/>
      </xdr:nvSpPr>
      <xdr:spPr>
        <a:xfrm>
          <a:off x="20797751" y="6995775"/>
          <a:ext cx="2078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164757</xdr:colOff>
      <xdr:row>24</xdr:row>
      <xdr:rowOff>164757</xdr:rowOff>
    </xdr:from>
    <xdr:to>
      <xdr:col>10</xdr:col>
      <xdr:colOff>20595</xdr:colOff>
      <xdr:row>40</xdr:row>
      <xdr:rowOff>185350</xdr:rowOff>
    </xdr:to>
    <mc:AlternateContent xmlns:mc="http://schemas.openxmlformats.org/markup-compatibility/2006" xmlns:a14="http://schemas.microsoft.com/office/drawing/2010/main">
      <mc:Choice Requires="a14">
        <xdr:graphicFrame macro="">
          <xdr:nvGraphicFramePr>
            <xdr:cNvPr id="44" name="Year">
              <a:extLst>
                <a:ext uri="{FF2B5EF4-FFF2-40B4-BE49-F238E27FC236}">
                  <a16:creationId xmlns:a16="http://schemas.microsoft.com/office/drawing/2014/main" id="{B5DA9219-BEFD-4F53-8190-BA98B21E2FF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822357" y="4635157"/>
              <a:ext cx="2294238" cy="3000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102973</xdr:colOff>
      <xdr:row>42</xdr:row>
      <xdr:rowOff>20594</xdr:rowOff>
    </xdr:from>
    <xdr:to>
      <xdr:col>10</xdr:col>
      <xdr:colOff>61784</xdr:colOff>
      <xdr:row>61</xdr:row>
      <xdr:rowOff>144163</xdr:rowOff>
    </xdr:to>
    <mc:AlternateContent xmlns:mc="http://schemas.openxmlformats.org/markup-compatibility/2006" xmlns:a14="http://schemas.microsoft.com/office/drawing/2010/main">
      <mc:Choice Requires="a14">
        <xdr:graphicFrame macro="">
          <xdr:nvGraphicFramePr>
            <xdr:cNvPr id="45" name="Director">
              <a:extLst>
                <a:ext uri="{FF2B5EF4-FFF2-40B4-BE49-F238E27FC236}">
                  <a16:creationId xmlns:a16="http://schemas.microsoft.com/office/drawing/2014/main" id="{3DB3B4E5-0711-4809-8611-E9F09B77ADC5}"/>
                </a:ext>
              </a:extLst>
            </xdr:cNvPr>
            <xdr:cNvGraphicFramePr/>
          </xdr:nvGraphicFramePr>
          <xdr:xfrm>
            <a:off x="0" y="0"/>
            <a:ext cx="0" cy="0"/>
          </xdr:xfrm>
          <a:graphic>
            <a:graphicData uri="http://schemas.microsoft.com/office/drawing/2010/slicer">
              <sle:slicer xmlns:sle="http://schemas.microsoft.com/office/drawing/2010/slicer" name="Director"/>
            </a:graphicData>
          </a:graphic>
        </xdr:graphicFrame>
      </mc:Choice>
      <mc:Fallback xmlns="">
        <xdr:sp macro="" textlink="">
          <xdr:nvSpPr>
            <xdr:cNvPr id="0" name=""/>
            <xdr:cNvSpPr>
              <a:spLocks noTextEdit="1"/>
            </xdr:cNvSpPr>
          </xdr:nvSpPr>
          <xdr:spPr>
            <a:xfrm>
              <a:off x="3760573" y="7843794"/>
              <a:ext cx="2397211" cy="3662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153315</xdr:colOff>
      <xdr:row>7</xdr:row>
      <xdr:rowOff>119906</xdr:rowOff>
    </xdr:from>
    <xdr:to>
      <xdr:col>10</xdr:col>
      <xdr:colOff>61784</xdr:colOff>
      <xdr:row>23</xdr:row>
      <xdr:rowOff>144161</xdr:rowOff>
    </xdr:to>
    <mc:AlternateContent xmlns:mc="http://schemas.openxmlformats.org/markup-compatibility/2006" xmlns:a14="http://schemas.microsoft.com/office/drawing/2010/main">
      <mc:Choice Requires="a14">
        <xdr:graphicFrame macro="">
          <xdr:nvGraphicFramePr>
            <xdr:cNvPr id="46" name="Genre">
              <a:extLst>
                <a:ext uri="{FF2B5EF4-FFF2-40B4-BE49-F238E27FC236}">
                  <a16:creationId xmlns:a16="http://schemas.microsoft.com/office/drawing/2014/main" id="{92D13209-3553-4043-BE6A-58A0DD18B3E2}"/>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3810915" y="1423773"/>
              <a:ext cx="2346869" cy="3004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0.45833</cdr:x>
      <cdr:y>0.32906</cdr:y>
    </cdr:from>
    <cdr:to>
      <cdr:x>0.54167</cdr:x>
      <cdr:y>0.67094</cdr:y>
    </cdr:to>
    <cdr:sp macro="" textlink="">
      <cdr:nvSpPr>
        <cdr:cNvPr id="2" name="TextBox 1">
          <a:extLst xmlns:a="http://schemas.openxmlformats.org/drawingml/2006/main">
            <a:ext uri="{FF2B5EF4-FFF2-40B4-BE49-F238E27FC236}">
              <a16:creationId xmlns:a16="http://schemas.microsoft.com/office/drawing/2014/main" id="{FFB67030-92DA-B999-E908-630473BD79DD}"/>
            </a:ext>
          </a:extLst>
        </cdr:cNvPr>
        <cdr:cNvSpPr txBox="1"/>
      </cdr:nvSpPr>
      <cdr:spPr>
        <a:xfrm xmlns:a="http://schemas.openxmlformats.org/drawingml/2006/main">
          <a:off x="5028507" y="88011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vitha HM" refreshedDate="46090.763762268522" createdVersion="8" refreshedVersion="8" minRefreshableVersion="3" recordCount="28" xr:uid="{679EB8E8-679A-47C4-A54D-1239112F9B28}">
  <cacheSource type="worksheet">
    <worksheetSource name="Table3"/>
  </cacheSource>
  <cacheFields count="10">
    <cacheField name="Movie Name" numFmtId="0">
      <sharedItems count="28">
        <s v="Rajakumarudu"/>
        <s v="Yuvaraju"/>
        <s v="Vamsi"/>
        <s v="Murari"/>
        <s v="Takkari Donga"/>
        <s v="Bobby"/>
        <s v="Okkadu"/>
        <s v="Nijam"/>
        <s v="Naani"/>
        <s v="Arjun"/>
        <s v="Athadu"/>
        <s v="Pokiri"/>
        <s v="Sainikudu"/>
        <s v="Athidhi"/>
        <s v="Khaleja"/>
        <s v="Dookudu"/>
        <s v="Businessman"/>
        <s v="Seethamma Vakitlo Sirimalle Chettu"/>
        <s v="1: Nenokkadine"/>
        <s v="Aagadu"/>
        <s v="Srimanthudu"/>
        <s v="Brahmotsavam"/>
        <s v="Spyder"/>
        <s v="Bharat Ane Nenu"/>
        <s v="Maharshi"/>
        <s v="Sarileru Neekevvaru"/>
        <s v="Sarkaru Vaari Paata"/>
        <s v="Guntur Kaaram"/>
      </sharedItems>
    </cacheField>
    <cacheField name="Year" numFmtId="0">
      <sharedItems containsSemiMixedTypes="0" containsString="0" containsNumber="1" containsInteger="1" minValue="1999" maxValue="2024" count="22">
        <n v="1999"/>
        <n v="2000"/>
        <n v="2001"/>
        <n v="2002"/>
        <n v="2003"/>
        <n v="2004"/>
        <n v="2005"/>
        <n v="2006"/>
        <n v="2007"/>
        <n v="2010"/>
        <n v="2011"/>
        <n v="2012"/>
        <n v="2013"/>
        <n v="2014"/>
        <n v="2015"/>
        <n v="2016"/>
        <n v="2017"/>
        <n v="2018"/>
        <n v="2019"/>
        <n v="2020"/>
        <n v="2022"/>
        <n v="2024"/>
      </sharedItems>
    </cacheField>
    <cacheField name="Director" numFmtId="0">
      <sharedItems count="20">
        <s v="K. Raghavendra Rao"/>
        <s v="Y. V. S. Chowdary"/>
        <s v="B. Gopal"/>
        <s v="Krishna Vamsi"/>
        <s v="Jayanth C. Paranjee"/>
        <s v="Sobhan"/>
        <s v="Gunasekhar"/>
        <s v="Teja"/>
        <s v="S. J. Surya"/>
        <s v="Trivikram Srinivas"/>
        <s v="Puri Jagannadh"/>
        <s v="Surender Reddy"/>
        <s v="Srinu Vaitla"/>
        <s v="Srikanth Addala"/>
        <s v="Sukumar"/>
        <s v="Koratala Siva"/>
        <s v="A. R. Murugadoss"/>
        <s v="Vamsi Paidipally"/>
        <s v="Anil Ravipudi"/>
        <s v="Parasuram"/>
      </sharedItems>
    </cacheField>
    <cacheField name="Genre" numFmtId="0">
      <sharedItems count="16">
        <s v="Romance/Drama"/>
        <s v="Romance"/>
        <s v="Action"/>
        <s v="Family/Drama"/>
        <s v="Action/Western"/>
        <s v="Action/Sports"/>
        <s v="Drama"/>
        <s v="Fantasy"/>
        <s v="Action/Thriller"/>
        <s v="Fantasy/Action"/>
        <s v="Action/Comedy"/>
        <s v="Action/Crime"/>
        <s v="Thriller"/>
        <s v="Action/Drama"/>
        <s v="Family"/>
        <s v="Political"/>
      </sharedItems>
    </cacheField>
    <cacheField name="Budget (₹ Cr)" numFmtId="0">
      <sharedItems containsSemiMixedTypes="0" containsString="0" containsNumber="1" containsInteger="1" minValue="5" maxValue="200"/>
    </cacheField>
    <cacheField name="Box Office (₹ Cr)" numFmtId="0">
      <sharedItems containsSemiMixedTypes="0" containsString="0" containsNumber="1" containsInteger="1" minValue="10" maxValue="260"/>
    </cacheField>
    <cacheField name="Verdict" numFmtId="0">
      <sharedItems count="5">
        <s v="Hit"/>
        <s v="Average"/>
        <s v="Flop"/>
        <s v="Blockbuster"/>
        <s v="Super Hit"/>
      </sharedItems>
    </cacheField>
    <cacheField name="IMDb Rating" numFmtId="0">
      <sharedItems containsSemiMixedTypes="0" containsString="0" containsNumber="1" minValue="4" maxValue="8.1999999999999993"/>
    </cacheField>
    <cacheField name="Language" numFmtId="0">
      <sharedItems/>
    </cacheField>
    <cacheField name="Production House" numFmtId="0">
      <sharedItems/>
    </cacheField>
  </cacheFields>
  <extLst>
    <ext xmlns:x14="http://schemas.microsoft.com/office/spreadsheetml/2009/9/main" uri="{725AE2AE-9491-48be-B2B4-4EB974FC3084}">
      <x14:pivotCacheDefinition pivotCacheId="630409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x v="0"/>
    <x v="0"/>
    <n v="6"/>
    <n v="25"/>
    <x v="0"/>
    <n v="7"/>
    <s v="Telugu"/>
    <s v="Vyjayanthi Movies"/>
  </r>
  <r>
    <x v="1"/>
    <x v="1"/>
    <x v="1"/>
    <x v="1"/>
    <n v="5"/>
    <n v="20"/>
    <x v="1"/>
    <n v="6.5"/>
    <s v="Telugu"/>
    <s v="Sri Venkateswara Creations"/>
  </r>
  <r>
    <x v="2"/>
    <x v="1"/>
    <x v="2"/>
    <x v="2"/>
    <n v="7"/>
    <n v="15"/>
    <x v="1"/>
    <n v="6"/>
    <s v="Telugu"/>
    <s v="Suresh Productions"/>
  </r>
  <r>
    <x v="3"/>
    <x v="2"/>
    <x v="3"/>
    <x v="3"/>
    <n v="8"/>
    <n v="30"/>
    <x v="0"/>
    <n v="7.8"/>
    <s v="Telugu"/>
    <s v="Ram Prasad Arts"/>
  </r>
  <r>
    <x v="4"/>
    <x v="3"/>
    <x v="4"/>
    <x v="4"/>
    <n v="10"/>
    <n v="20"/>
    <x v="1"/>
    <n v="6.4"/>
    <s v="Telugu"/>
    <s v="Jayanth Productions"/>
  </r>
  <r>
    <x v="5"/>
    <x v="3"/>
    <x v="5"/>
    <x v="1"/>
    <n v="9"/>
    <n v="18"/>
    <x v="2"/>
    <n v="5.8"/>
    <s v="Telugu"/>
    <s v="Vaishno Academy"/>
  </r>
  <r>
    <x v="6"/>
    <x v="4"/>
    <x v="6"/>
    <x v="5"/>
    <n v="10"/>
    <n v="40"/>
    <x v="3"/>
    <n v="8.1"/>
    <s v="Telugu"/>
    <s v="MS Raju Productions"/>
  </r>
  <r>
    <x v="7"/>
    <x v="4"/>
    <x v="7"/>
    <x v="6"/>
    <n v="8"/>
    <n v="10"/>
    <x v="2"/>
    <n v="6.6"/>
    <s v="Telugu"/>
    <s v="Chitram Movies"/>
  </r>
  <r>
    <x v="8"/>
    <x v="5"/>
    <x v="8"/>
    <x v="7"/>
    <n v="12"/>
    <n v="18"/>
    <x v="2"/>
    <n v="5.5"/>
    <s v="Telugu"/>
    <s v="Indira Productions"/>
  </r>
  <r>
    <x v="9"/>
    <x v="5"/>
    <x v="6"/>
    <x v="2"/>
    <n v="15"/>
    <n v="30"/>
    <x v="1"/>
    <n v="6.8"/>
    <s v="Telugu"/>
    <s v="Jayabheri Arts"/>
  </r>
  <r>
    <x v="10"/>
    <x v="6"/>
    <x v="9"/>
    <x v="8"/>
    <n v="18"/>
    <n v="45"/>
    <x v="0"/>
    <n v="8.1999999999999993"/>
    <s v="Telugu"/>
    <s v="Jayabheri Arts"/>
  </r>
  <r>
    <x v="11"/>
    <x v="7"/>
    <x v="10"/>
    <x v="2"/>
    <n v="12"/>
    <n v="66"/>
    <x v="3"/>
    <n v="8"/>
    <s v="Telugu"/>
    <s v="Vaishno Academy"/>
  </r>
  <r>
    <x v="12"/>
    <x v="7"/>
    <x v="6"/>
    <x v="2"/>
    <n v="30"/>
    <n v="40"/>
    <x v="2"/>
    <n v="5.3"/>
    <s v="Telugu"/>
    <s v="GMB Productions"/>
  </r>
  <r>
    <x v="13"/>
    <x v="8"/>
    <x v="11"/>
    <x v="2"/>
    <n v="32"/>
    <n v="45"/>
    <x v="1"/>
    <n v="5.8"/>
    <s v="Telugu"/>
    <s v="UTV Motion Pictures"/>
  </r>
  <r>
    <x v="14"/>
    <x v="9"/>
    <x v="9"/>
    <x v="9"/>
    <n v="35"/>
    <n v="70"/>
    <x v="1"/>
    <n v="7.6"/>
    <s v="Telugu"/>
    <s v="Harika &amp; Hassine Creations"/>
  </r>
  <r>
    <x v="15"/>
    <x v="10"/>
    <x v="12"/>
    <x v="10"/>
    <n v="50"/>
    <n v="101"/>
    <x v="3"/>
    <n v="7.4"/>
    <s v="Telugu"/>
    <s v="14 Reels Entertainment"/>
  </r>
  <r>
    <x v="16"/>
    <x v="11"/>
    <x v="10"/>
    <x v="11"/>
    <n v="40"/>
    <n v="80"/>
    <x v="0"/>
    <n v="7.2"/>
    <s v="Telugu"/>
    <s v="R. R. Movie Makers"/>
  </r>
  <r>
    <x v="17"/>
    <x v="12"/>
    <x v="13"/>
    <x v="3"/>
    <n v="50"/>
    <n v="85"/>
    <x v="0"/>
    <n v="7.5"/>
    <s v="Telugu"/>
    <s v="Sri Venkateswara Creations"/>
  </r>
  <r>
    <x v="18"/>
    <x v="13"/>
    <x v="14"/>
    <x v="12"/>
    <n v="70"/>
    <n v="62"/>
    <x v="2"/>
    <n v="8"/>
    <s v="Telugu"/>
    <s v="14 Reels Entertainment"/>
  </r>
  <r>
    <x v="19"/>
    <x v="13"/>
    <x v="12"/>
    <x v="10"/>
    <n v="60"/>
    <n v="75"/>
    <x v="2"/>
    <n v="5.3"/>
    <s v="Telugu"/>
    <s v="14 Reels Entertainment"/>
  </r>
  <r>
    <x v="20"/>
    <x v="14"/>
    <x v="15"/>
    <x v="13"/>
    <n v="40"/>
    <n v="144"/>
    <x v="3"/>
    <n v="7.5"/>
    <s v="Telugu"/>
    <s v="Mythri Movie Makers"/>
  </r>
  <r>
    <x v="21"/>
    <x v="15"/>
    <x v="13"/>
    <x v="14"/>
    <n v="70"/>
    <n v="60"/>
    <x v="2"/>
    <n v="4"/>
    <s v="Telugu"/>
    <s v="PVP Cinema"/>
  </r>
  <r>
    <x v="22"/>
    <x v="16"/>
    <x v="16"/>
    <x v="8"/>
    <n v="120"/>
    <n v="150"/>
    <x v="1"/>
    <n v="6.3"/>
    <s v="Telugu/Tamil"/>
    <s v="NVR Cinema"/>
  </r>
  <r>
    <x v="23"/>
    <x v="17"/>
    <x v="15"/>
    <x v="15"/>
    <n v="65"/>
    <n v="225"/>
    <x v="3"/>
    <n v="7.8"/>
    <s v="Telugu"/>
    <s v="DVV Entertainment"/>
  </r>
  <r>
    <x v="24"/>
    <x v="18"/>
    <x v="17"/>
    <x v="13"/>
    <n v="100"/>
    <n v="175"/>
    <x v="4"/>
    <n v="7.2"/>
    <s v="Telugu"/>
    <s v="Sri Venkateswara Creations"/>
  </r>
  <r>
    <x v="25"/>
    <x v="19"/>
    <x v="18"/>
    <x v="10"/>
    <n v="75"/>
    <n v="260"/>
    <x v="3"/>
    <n v="6.8"/>
    <s v="Telugu"/>
    <s v="AK Entertainments"/>
  </r>
  <r>
    <x v="26"/>
    <x v="20"/>
    <x v="19"/>
    <x v="2"/>
    <n v="60"/>
    <n v="180"/>
    <x v="0"/>
    <n v="6.5"/>
    <s v="Telugu"/>
    <s v="Mythri Movie Makers"/>
  </r>
  <r>
    <x v="27"/>
    <x v="21"/>
    <x v="9"/>
    <x v="13"/>
    <n v="200"/>
    <n v="172"/>
    <x v="1"/>
    <n v="5.5"/>
    <s v="Telugu"/>
    <s v="Haarika &amp; Hassine Creation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DF8F6F-9122-48D3-842F-5D29E5D97A3F}"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H31" firstHeaderRow="1" firstDataRow="1" firstDataCol="1"/>
  <pivotFields count="10">
    <pivotField axis="axisRow" showAll="0" sortType="descending">
      <items count="29">
        <item x="18"/>
        <item x="19"/>
        <item x="9"/>
        <item x="10"/>
        <item x="13"/>
        <item x="23"/>
        <item x="5"/>
        <item x="21"/>
        <item x="16"/>
        <item x="15"/>
        <item x="27"/>
        <item x="14"/>
        <item x="24"/>
        <item x="3"/>
        <item x="8"/>
        <item x="7"/>
        <item x="6"/>
        <item x="11"/>
        <item x="0"/>
        <item x="12"/>
        <item x="25"/>
        <item x="26"/>
        <item x="17"/>
        <item x="22"/>
        <item x="20"/>
        <item x="4"/>
        <item x="2"/>
        <item x="1"/>
        <item t="default"/>
      </items>
      <autoSortScope>
        <pivotArea dataOnly="0" outline="0" fieldPosition="0">
          <references count="1">
            <reference field="4294967294" count="1" selected="0">
              <x v="0"/>
            </reference>
          </references>
        </pivotArea>
      </autoSortScope>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21">
        <item x="16"/>
        <item x="18"/>
        <item x="2"/>
        <item x="6"/>
        <item x="4"/>
        <item x="0"/>
        <item x="15"/>
        <item x="3"/>
        <item x="19"/>
        <item x="10"/>
        <item x="8"/>
        <item x="5"/>
        <item x="13"/>
        <item x="12"/>
        <item x="14"/>
        <item x="11"/>
        <item x="7"/>
        <item x="9"/>
        <item x="17"/>
        <item x="1"/>
        <item t="default"/>
      </items>
    </pivotField>
    <pivotField showAll="0">
      <items count="17">
        <item x="2"/>
        <item x="10"/>
        <item x="11"/>
        <item x="13"/>
        <item x="5"/>
        <item x="8"/>
        <item x="4"/>
        <item x="6"/>
        <item x="14"/>
        <item x="3"/>
        <item x="7"/>
        <item x="9"/>
        <item x="15"/>
        <item x="1"/>
        <item x="0"/>
        <item x="12"/>
        <item t="default"/>
      </items>
    </pivotField>
    <pivotField showAll="0"/>
    <pivotField dataField="1" showAll="0"/>
    <pivotField showAll="0"/>
    <pivotField showAll="0"/>
    <pivotField showAll="0"/>
    <pivotField showAll="0"/>
  </pivotFields>
  <rowFields count="1">
    <field x="0"/>
  </rowFields>
  <rowItems count="29">
    <i>
      <x v="20"/>
    </i>
    <i>
      <x v="5"/>
    </i>
    <i>
      <x v="21"/>
    </i>
    <i>
      <x v="12"/>
    </i>
    <i>
      <x v="10"/>
    </i>
    <i>
      <x v="23"/>
    </i>
    <i>
      <x v="24"/>
    </i>
    <i>
      <x v="9"/>
    </i>
    <i>
      <x v="22"/>
    </i>
    <i>
      <x v="8"/>
    </i>
    <i>
      <x v="1"/>
    </i>
    <i>
      <x v="11"/>
    </i>
    <i>
      <x v="17"/>
    </i>
    <i>
      <x/>
    </i>
    <i>
      <x v="7"/>
    </i>
    <i>
      <x v="4"/>
    </i>
    <i>
      <x v="3"/>
    </i>
    <i>
      <x v="19"/>
    </i>
    <i>
      <x v="16"/>
    </i>
    <i>
      <x v="2"/>
    </i>
    <i>
      <x v="13"/>
    </i>
    <i>
      <x v="18"/>
    </i>
    <i>
      <x v="27"/>
    </i>
    <i>
      <x v="25"/>
    </i>
    <i>
      <x v="14"/>
    </i>
    <i>
      <x v="6"/>
    </i>
    <i>
      <x v="26"/>
    </i>
    <i>
      <x v="15"/>
    </i>
    <i t="grand">
      <x/>
    </i>
  </rowItems>
  <colItems count="1">
    <i/>
  </colItems>
  <dataFields count="1">
    <dataField name="Sum of Box Office (₹ Cr)" fld="5"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5"/>
          </reference>
        </references>
      </pivotArea>
    </chartFormat>
    <chartFormat chart="2" format="4">
      <pivotArea type="data" outline="0" fieldPosition="0">
        <references count="2">
          <reference field="4294967294" count="1" selected="0">
            <x v="0"/>
          </reference>
          <reference field="0" count="1" selected="0">
            <x v="20"/>
          </reference>
        </references>
      </pivotArea>
    </chartFormat>
    <chartFormat chart="2" format="5">
      <pivotArea type="data" outline="0" fieldPosition="0">
        <references count="2">
          <reference field="4294967294" count="1" selected="0">
            <x v="0"/>
          </reference>
          <reference field="0" count="1" selected="0">
            <x v="5"/>
          </reference>
        </references>
      </pivotArea>
    </chartFormat>
    <chartFormat chart="2" format="6">
      <pivotArea type="data" outline="0" fieldPosition="0">
        <references count="2">
          <reference field="4294967294" count="1" selected="0">
            <x v="0"/>
          </reference>
          <reference field="0" count="1" selected="0">
            <x v="21"/>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6E8E28-9685-4E0C-836A-88E6CAFEA04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C25" firstHeaderRow="1" firstDataRow="1" firstDataCol="1"/>
  <pivotFields count="10">
    <pivotField dataField="1" showAll="0">
      <items count="29">
        <item x="18"/>
        <item x="19"/>
        <item x="9"/>
        <item x="10"/>
        <item x="13"/>
        <item x="23"/>
        <item x="5"/>
        <item x="21"/>
        <item x="16"/>
        <item x="15"/>
        <item x="27"/>
        <item x="14"/>
        <item x="24"/>
        <item x="3"/>
        <item x="8"/>
        <item x="7"/>
        <item x="6"/>
        <item x="11"/>
        <item x="0"/>
        <item x="12"/>
        <item x="25"/>
        <item x="26"/>
        <item x="17"/>
        <item x="22"/>
        <item x="20"/>
        <item x="4"/>
        <item x="2"/>
        <item x="1"/>
        <item t="default"/>
      </items>
    </pivotField>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items count="21">
        <item x="16"/>
        <item x="18"/>
        <item x="2"/>
        <item x="6"/>
        <item x="4"/>
        <item x="0"/>
        <item x="15"/>
        <item x="3"/>
        <item x="19"/>
        <item x="10"/>
        <item x="8"/>
        <item x="5"/>
        <item x="13"/>
        <item x="12"/>
        <item x="14"/>
        <item x="11"/>
        <item x="7"/>
        <item x="9"/>
        <item x="17"/>
        <item x="1"/>
        <item t="default"/>
      </items>
    </pivotField>
    <pivotField showAll="0">
      <items count="17">
        <item x="2"/>
        <item x="10"/>
        <item x="11"/>
        <item x="13"/>
        <item x="5"/>
        <item x="8"/>
        <item x="4"/>
        <item x="6"/>
        <item x="14"/>
        <item x="3"/>
        <item x="7"/>
        <item x="9"/>
        <item x="15"/>
        <item x="1"/>
        <item x="0"/>
        <item x="12"/>
        <item t="default"/>
      </items>
    </pivotField>
    <pivotField showAll="0"/>
    <pivotField showAll="0"/>
    <pivotField showAll="0"/>
    <pivotField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Movie Name" fld="0" subtotal="count"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6EC483-8C4F-4D54-92F0-FB241C147544}"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2:L23" firstHeaderRow="1" firstDataRow="1" firstDataCol="0"/>
  <pivotFields count="10">
    <pivotField showAll="0">
      <items count="29">
        <item x="18"/>
        <item x="19"/>
        <item x="9"/>
        <item x="10"/>
        <item x="13"/>
        <item x="23"/>
        <item x="5"/>
        <item x="21"/>
        <item x="16"/>
        <item x="15"/>
        <item x="27"/>
        <item x="14"/>
        <item x="24"/>
        <item x="3"/>
        <item x="8"/>
        <item x="7"/>
        <item x="6"/>
        <item x="11"/>
        <item x="0"/>
        <item x="12"/>
        <item x="25"/>
        <item x="26"/>
        <item x="17"/>
        <item x="22"/>
        <item x="20"/>
        <item x="4"/>
        <item x="2"/>
        <item x="1"/>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21">
        <item x="16"/>
        <item x="18"/>
        <item x="2"/>
        <item x="6"/>
        <item x="4"/>
        <item x="0"/>
        <item x="15"/>
        <item x="3"/>
        <item x="19"/>
        <item x="10"/>
        <item x="8"/>
        <item x="5"/>
        <item x="13"/>
        <item x="12"/>
        <item x="14"/>
        <item x="11"/>
        <item x="7"/>
        <item x="9"/>
        <item x="17"/>
        <item x="1"/>
        <item t="default"/>
      </items>
    </pivotField>
    <pivotField showAll="0">
      <items count="17">
        <item x="2"/>
        <item x="10"/>
        <item x="11"/>
        <item x="13"/>
        <item x="5"/>
        <item x="8"/>
        <item x="4"/>
        <item x="6"/>
        <item x="14"/>
        <item x="3"/>
        <item x="7"/>
        <item x="9"/>
        <item x="15"/>
        <item x="1"/>
        <item x="0"/>
        <item x="12"/>
        <item t="default"/>
      </items>
    </pivotField>
    <pivotField showAll="0"/>
    <pivotField dataField="1" showAll="0"/>
    <pivotField showAll="0"/>
    <pivotField showAll="0"/>
    <pivotField showAll="0"/>
    <pivotField showAll="0"/>
  </pivotFields>
  <rowItems count="1">
    <i/>
  </rowItems>
  <colItems count="1">
    <i/>
  </colItems>
  <dataFields count="1">
    <dataField name="Sum of Box Office (₹ Cr)"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E9250B-F762-420B-8858-CEC4F30A0A7D}"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4:K25" firstHeaderRow="0" firstDataRow="1" firstDataCol="0"/>
  <pivotFields count="10">
    <pivotField dataField="1" showAll="0">
      <items count="29">
        <item x="18"/>
        <item x="19"/>
        <item x="9"/>
        <item x="10"/>
        <item x="13"/>
        <item x="23"/>
        <item x="5"/>
        <item x="21"/>
        <item x="16"/>
        <item x="15"/>
        <item x="27"/>
        <item x="14"/>
        <item x="24"/>
        <item x="3"/>
        <item x="8"/>
        <item x="7"/>
        <item x="6"/>
        <item x="11"/>
        <item x="0"/>
        <item x="12"/>
        <item x="25"/>
        <item x="26"/>
        <item x="17"/>
        <item x="22"/>
        <item x="20"/>
        <item x="4"/>
        <item x="2"/>
        <item x="1"/>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21">
        <item x="16"/>
        <item x="18"/>
        <item x="2"/>
        <item x="6"/>
        <item x="4"/>
        <item x="0"/>
        <item x="15"/>
        <item x="3"/>
        <item x="19"/>
        <item x="10"/>
        <item x="8"/>
        <item x="5"/>
        <item x="13"/>
        <item x="12"/>
        <item x="14"/>
        <item x="11"/>
        <item x="7"/>
        <item x="9"/>
        <item x="17"/>
        <item x="1"/>
        <item t="default"/>
      </items>
    </pivotField>
    <pivotField showAll="0">
      <items count="17">
        <item x="2"/>
        <item x="10"/>
        <item x="11"/>
        <item x="13"/>
        <item x="5"/>
        <item x="8"/>
        <item x="4"/>
        <item x="6"/>
        <item x="14"/>
        <item x="3"/>
        <item x="7"/>
        <item x="9"/>
        <item x="15"/>
        <item x="1"/>
        <item x="0"/>
        <item x="12"/>
        <item t="default"/>
      </items>
    </pivotField>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Count of Movie Name" fld="0" subtotal="count" baseField="0" baseItem="0"/>
    <dataField name="Average of IMDb Rating" fld="7" subtotal="average" baseField="0" baseItem="1" numFmtId="164"/>
  </dataFields>
  <formats count="1">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256AC9-6691-4BF1-9AA2-C19E3A529D4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2:N19" firstHeaderRow="1" firstDataRow="1" firstDataCol="1"/>
  <pivotFields count="10">
    <pivotField dataField="1" showAll="0">
      <items count="29">
        <item x="18"/>
        <item x="19"/>
        <item x="9"/>
        <item x="10"/>
        <item x="13"/>
        <item x="23"/>
        <item x="5"/>
        <item x="21"/>
        <item x="16"/>
        <item x="15"/>
        <item x="27"/>
        <item x="14"/>
        <item x="24"/>
        <item x="3"/>
        <item x="8"/>
        <item x="7"/>
        <item x="6"/>
        <item x="11"/>
        <item x="0"/>
        <item x="12"/>
        <item x="25"/>
        <item x="26"/>
        <item x="17"/>
        <item x="22"/>
        <item x="20"/>
        <item x="4"/>
        <item x="2"/>
        <item x="1"/>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21">
        <item x="16"/>
        <item x="18"/>
        <item x="2"/>
        <item x="6"/>
        <item x="4"/>
        <item x="0"/>
        <item x="15"/>
        <item x="3"/>
        <item x="19"/>
        <item x="10"/>
        <item x="8"/>
        <item x="5"/>
        <item x="13"/>
        <item x="12"/>
        <item x="14"/>
        <item x="11"/>
        <item x="7"/>
        <item x="9"/>
        <item x="17"/>
        <item x="1"/>
        <item t="default"/>
      </items>
    </pivotField>
    <pivotField axis="axisRow" showAll="0">
      <items count="17">
        <item x="2"/>
        <item x="10"/>
        <item x="11"/>
        <item x="13"/>
        <item x="5"/>
        <item x="8"/>
        <item x="4"/>
        <item x="6"/>
        <item x="14"/>
        <item x="3"/>
        <item x="7"/>
        <item x="9"/>
        <item x="15"/>
        <item x="1"/>
        <item x="0"/>
        <item x="12"/>
        <item t="default"/>
      </items>
    </pivotField>
    <pivotField showAll="0"/>
    <pivotField showAll="0"/>
    <pivotField showAll="0"/>
    <pivotField showAll="0"/>
    <pivotField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Count of Movie Name" fld="0" subtotal="count" baseField="0" baseItem="0"/>
  </dataFields>
  <chartFormats count="34">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3" count="1" selected="0">
            <x v="0"/>
          </reference>
        </references>
      </pivotArea>
    </chartFormat>
    <chartFormat chart="2" format="20">
      <pivotArea type="data" outline="0" fieldPosition="0">
        <references count="2">
          <reference field="4294967294" count="1" selected="0">
            <x v="0"/>
          </reference>
          <reference field="3" count="1" selected="0">
            <x v="1"/>
          </reference>
        </references>
      </pivotArea>
    </chartFormat>
    <chartFormat chart="2" format="21">
      <pivotArea type="data" outline="0" fieldPosition="0">
        <references count="2">
          <reference field="4294967294" count="1" selected="0">
            <x v="0"/>
          </reference>
          <reference field="3" count="1" selected="0">
            <x v="2"/>
          </reference>
        </references>
      </pivotArea>
    </chartFormat>
    <chartFormat chart="2" format="22">
      <pivotArea type="data" outline="0" fieldPosition="0">
        <references count="2">
          <reference field="4294967294" count="1" selected="0">
            <x v="0"/>
          </reference>
          <reference field="3" count="1" selected="0">
            <x v="3"/>
          </reference>
        </references>
      </pivotArea>
    </chartFormat>
    <chartFormat chart="2" format="23">
      <pivotArea type="data" outline="0" fieldPosition="0">
        <references count="2">
          <reference field="4294967294" count="1" selected="0">
            <x v="0"/>
          </reference>
          <reference field="3" count="1" selected="0">
            <x v="4"/>
          </reference>
        </references>
      </pivotArea>
    </chartFormat>
    <chartFormat chart="2" format="24">
      <pivotArea type="data" outline="0" fieldPosition="0">
        <references count="2">
          <reference field="4294967294" count="1" selected="0">
            <x v="0"/>
          </reference>
          <reference field="3" count="1" selected="0">
            <x v="5"/>
          </reference>
        </references>
      </pivotArea>
    </chartFormat>
    <chartFormat chart="2" format="25">
      <pivotArea type="data" outline="0" fieldPosition="0">
        <references count="2">
          <reference field="4294967294" count="1" selected="0">
            <x v="0"/>
          </reference>
          <reference field="3" count="1" selected="0">
            <x v="6"/>
          </reference>
        </references>
      </pivotArea>
    </chartFormat>
    <chartFormat chart="2" format="26">
      <pivotArea type="data" outline="0" fieldPosition="0">
        <references count="2">
          <reference field="4294967294" count="1" selected="0">
            <x v="0"/>
          </reference>
          <reference field="3" count="1" selected="0">
            <x v="7"/>
          </reference>
        </references>
      </pivotArea>
    </chartFormat>
    <chartFormat chart="2" format="27">
      <pivotArea type="data" outline="0" fieldPosition="0">
        <references count="2">
          <reference field="4294967294" count="1" selected="0">
            <x v="0"/>
          </reference>
          <reference field="3" count="1" selected="0">
            <x v="8"/>
          </reference>
        </references>
      </pivotArea>
    </chartFormat>
    <chartFormat chart="2" format="28">
      <pivotArea type="data" outline="0" fieldPosition="0">
        <references count="2">
          <reference field="4294967294" count="1" selected="0">
            <x v="0"/>
          </reference>
          <reference field="3" count="1" selected="0">
            <x v="9"/>
          </reference>
        </references>
      </pivotArea>
    </chartFormat>
    <chartFormat chart="2" format="29">
      <pivotArea type="data" outline="0" fieldPosition="0">
        <references count="2">
          <reference field="4294967294" count="1" selected="0">
            <x v="0"/>
          </reference>
          <reference field="3" count="1" selected="0">
            <x v="10"/>
          </reference>
        </references>
      </pivotArea>
    </chartFormat>
    <chartFormat chart="2" format="30">
      <pivotArea type="data" outline="0" fieldPosition="0">
        <references count="2">
          <reference field="4294967294" count="1" selected="0">
            <x v="0"/>
          </reference>
          <reference field="3" count="1" selected="0">
            <x v="11"/>
          </reference>
        </references>
      </pivotArea>
    </chartFormat>
    <chartFormat chart="2" format="31">
      <pivotArea type="data" outline="0" fieldPosition="0">
        <references count="2">
          <reference field="4294967294" count="1" selected="0">
            <x v="0"/>
          </reference>
          <reference field="3" count="1" selected="0">
            <x v="12"/>
          </reference>
        </references>
      </pivotArea>
    </chartFormat>
    <chartFormat chart="2" format="32">
      <pivotArea type="data" outline="0" fieldPosition="0">
        <references count="2">
          <reference field="4294967294" count="1" selected="0">
            <x v="0"/>
          </reference>
          <reference field="3" count="1" selected="0">
            <x v="13"/>
          </reference>
        </references>
      </pivotArea>
    </chartFormat>
    <chartFormat chart="2" format="33">
      <pivotArea type="data" outline="0" fieldPosition="0">
        <references count="2">
          <reference field="4294967294" count="1" selected="0">
            <x v="0"/>
          </reference>
          <reference field="3" count="1" selected="0">
            <x v="14"/>
          </reference>
        </references>
      </pivotArea>
    </chartFormat>
    <chartFormat chart="2" format="34">
      <pivotArea type="data" outline="0" fieldPosition="0">
        <references count="2">
          <reference field="4294967294" count="1" selected="0">
            <x v="0"/>
          </reference>
          <reference field="3" count="1" selected="0">
            <x v="15"/>
          </reference>
        </references>
      </pivotArea>
    </chartFormat>
    <chartFormat chart="7" format="52" series="1">
      <pivotArea type="data" outline="0" fieldPosition="0">
        <references count="1">
          <reference field="4294967294" count="1" selected="0">
            <x v="0"/>
          </reference>
        </references>
      </pivotArea>
    </chartFormat>
    <chartFormat chart="7" format="53">
      <pivotArea type="data" outline="0" fieldPosition="0">
        <references count="2">
          <reference field="4294967294" count="1" selected="0">
            <x v="0"/>
          </reference>
          <reference field="3" count="1" selected="0">
            <x v="0"/>
          </reference>
        </references>
      </pivotArea>
    </chartFormat>
    <chartFormat chart="7" format="54">
      <pivotArea type="data" outline="0" fieldPosition="0">
        <references count="2">
          <reference field="4294967294" count="1" selected="0">
            <x v="0"/>
          </reference>
          <reference field="3" count="1" selected="0">
            <x v="1"/>
          </reference>
        </references>
      </pivotArea>
    </chartFormat>
    <chartFormat chart="7" format="55">
      <pivotArea type="data" outline="0" fieldPosition="0">
        <references count="2">
          <reference field="4294967294" count="1" selected="0">
            <x v="0"/>
          </reference>
          <reference field="3" count="1" selected="0">
            <x v="2"/>
          </reference>
        </references>
      </pivotArea>
    </chartFormat>
    <chartFormat chart="7" format="56">
      <pivotArea type="data" outline="0" fieldPosition="0">
        <references count="2">
          <reference field="4294967294" count="1" selected="0">
            <x v="0"/>
          </reference>
          <reference field="3" count="1" selected="0">
            <x v="3"/>
          </reference>
        </references>
      </pivotArea>
    </chartFormat>
    <chartFormat chart="7" format="57">
      <pivotArea type="data" outline="0" fieldPosition="0">
        <references count="2">
          <reference field="4294967294" count="1" selected="0">
            <x v="0"/>
          </reference>
          <reference field="3" count="1" selected="0">
            <x v="4"/>
          </reference>
        </references>
      </pivotArea>
    </chartFormat>
    <chartFormat chart="7" format="58">
      <pivotArea type="data" outline="0" fieldPosition="0">
        <references count="2">
          <reference field="4294967294" count="1" selected="0">
            <x v="0"/>
          </reference>
          <reference field="3" count="1" selected="0">
            <x v="5"/>
          </reference>
        </references>
      </pivotArea>
    </chartFormat>
    <chartFormat chart="7" format="59">
      <pivotArea type="data" outline="0" fieldPosition="0">
        <references count="2">
          <reference field="4294967294" count="1" selected="0">
            <x v="0"/>
          </reference>
          <reference field="3" count="1" selected="0">
            <x v="6"/>
          </reference>
        </references>
      </pivotArea>
    </chartFormat>
    <chartFormat chart="7" format="60">
      <pivotArea type="data" outline="0" fieldPosition="0">
        <references count="2">
          <reference field="4294967294" count="1" selected="0">
            <x v="0"/>
          </reference>
          <reference field="3" count="1" selected="0">
            <x v="7"/>
          </reference>
        </references>
      </pivotArea>
    </chartFormat>
    <chartFormat chart="7" format="61">
      <pivotArea type="data" outline="0" fieldPosition="0">
        <references count="2">
          <reference field="4294967294" count="1" selected="0">
            <x v="0"/>
          </reference>
          <reference field="3" count="1" selected="0">
            <x v="8"/>
          </reference>
        </references>
      </pivotArea>
    </chartFormat>
    <chartFormat chart="7" format="62">
      <pivotArea type="data" outline="0" fieldPosition="0">
        <references count="2">
          <reference field="4294967294" count="1" selected="0">
            <x v="0"/>
          </reference>
          <reference field="3" count="1" selected="0">
            <x v="9"/>
          </reference>
        </references>
      </pivotArea>
    </chartFormat>
    <chartFormat chart="7" format="63">
      <pivotArea type="data" outline="0" fieldPosition="0">
        <references count="2">
          <reference field="4294967294" count="1" selected="0">
            <x v="0"/>
          </reference>
          <reference field="3" count="1" selected="0">
            <x v="10"/>
          </reference>
        </references>
      </pivotArea>
    </chartFormat>
    <chartFormat chart="7" format="64">
      <pivotArea type="data" outline="0" fieldPosition="0">
        <references count="2">
          <reference field="4294967294" count="1" selected="0">
            <x v="0"/>
          </reference>
          <reference field="3" count="1" selected="0">
            <x v="11"/>
          </reference>
        </references>
      </pivotArea>
    </chartFormat>
    <chartFormat chart="7" format="65">
      <pivotArea type="data" outline="0" fieldPosition="0">
        <references count="2">
          <reference field="4294967294" count="1" selected="0">
            <x v="0"/>
          </reference>
          <reference field="3" count="1" selected="0">
            <x v="12"/>
          </reference>
        </references>
      </pivotArea>
    </chartFormat>
    <chartFormat chart="7" format="66">
      <pivotArea type="data" outline="0" fieldPosition="0">
        <references count="2">
          <reference field="4294967294" count="1" selected="0">
            <x v="0"/>
          </reference>
          <reference field="3" count="1" selected="0">
            <x v="13"/>
          </reference>
        </references>
      </pivotArea>
    </chartFormat>
    <chartFormat chart="7" format="67">
      <pivotArea type="data" outline="0" fieldPosition="0">
        <references count="2">
          <reference field="4294967294" count="1" selected="0">
            <x v="0"/>
          </reference>
          <reference field="3" count="1" selected="0">
            <x v="14"/>
          </reference>
        </references>
      </pivotArea>
    </chartFormat>
    <chartFormat chart="7" format="68">
      <pivotArea type="data" outline="0" fieldPosition="0">
        <references count="2">
          <reference field="4294967294" count="1" selected="0">
            <x v="0"/>
          </reference>
          <reference field="3"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8C74FF-893C-4E48-BC67-9E3A9C6EBA52}"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2:K8" firstHeaderRow="1" firstDataRow="1" firstDataCol="1"/>
  <pivotFields count="10">
    <pivotField dataField="1" showAll="0">
      <items count="29">
        <item x="18"/>
        <item x="19"/>
        <item x="9"/>
        <item x="10"/>
        <item x="13"/>
        <item x="23"/>
        <item x="5"/>
        <item x="21"/>
        <item x="16"/>
        <item x="15"/>
        <item x="27"/>
        <item x="14"/>
        <item x="24"/>
        <item x="3"/>
        <item x="8"/>
        <item x="7"/>
        <item x="6"/>
        <item x="11"/>
        <item x="0"/>
        <item x="12"/>
        <item x="25"/>
        <item x="26"/>
        <item x="17"/>
        <item x="22"/>
        <item x="20"/>
        <item x="4"/>
        <item x="2"/>
        <item x="1"/>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21">
        <item x="16"/>
        <item x="18"/>
        <item x="2"/>
        <item x="6"/>
        <item x="4"/>
        <item x="0"/>
        <item x="15"/>
        <item x="3"/>
        <item x="19"/>
        <item x="10"/>
        <item x="8"/>
        <item x="5"/>
        <item x="13"/>
        <item x="12"/>
        <item x="14"/>
        <item x="11"/>
        <item x="7"/>
        <item x="9"/>
        <item x="17"/>
        <item x="1"/>
        <item t="default"/>
      </items>
    </pivotField>
    <pivotField showAll="0">
      <items count="17">
        <item x="2"/>
        <item x="10"/>
        <item x="11"/>
        <item x="13"/>
        <item x="5"/>
        <item x="8"/>
        <item x="4"/>
        <item x="6"/>
        <item x="14"/>
        <item x="3"/>
        <item x="7"/>
        <item x="9"/>
        <item x="15"/>
        <item x="1"/>
        <item x="0"/>
        <item x="12"/>
        <item t="default"/>
      </items>
    </pivotField>
    <pivotField showAll="0"/>
    <pivotField showAll="0"/>
    <pivotField axis="axisRow" showAll="0">
      <items count="6">
        <item x="1"/>
        <item x="3"/>
        <item x="2"/>
        <item x="0"/>
        <item x="4"/>
        <item t="default"/>
      </items>
    </pivotField>
    <pivotField showAll="0"/>
    <pivotField showAll="0"/>
    <pivotField showAll="0"/>
  </pivotFields>
  <rowFields count="1">
    <field x="6"/>
  </rowFields>
  <rowItems count="6">
    <i>
      <x/>
    </i>
    <i>
      <x v="1"/>
    </i>
    <i>
      <x v="2"/>
    </i>
    <i>
      <x v="3"/>
    </i>
    <i>
      <x v="4"/>
    </i>
    <i t="grand">
      <x/>
    </i>
  </rowItems>
  <colItems count="1">
    <i/>
  </colItems>
  <dataFields count="1">
    <dataField name="Count of Movie Name" fld="0" subtotal="count" baseField="0" baseItem="0"/>
  </dataFields>
  <chartFormats count="12">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6" count="1" selected="0">
            <x v="0"/>
          </reference>
        </references>
      </pivotArea>
    </chartFormat>
    <chartFormat chart="13" format="21">
      <pivotArea type="data" outline="0" fieldPosition="0">
        <references count="2">
          <reference field="4294967294" count="1" selected="0">
            <x v="0"/>
          </reference>
          <reference field="6" count="1" selected="0">
            <x v="1"/>
          </reference>
        </references>
      </pivotArea>
    </chartFormat>
    <chartFormat chart="13" format="22">
      <pivotArea type="data" outline="0" fieldPosition="0">
        <references count="2">
          <reference field="4294967294" count="1" selected="0">
            <x v="0"/>
          </reference>
          <reference field="6" count="1" selected="0">
            <x v="2"/>
          </reference>
        </references>
      </pivotArea>
    </chartFormat>
    <chartFormat chart="13" format="23">
      <pivotArea type="data" outline="0" fieldPosition="0">
        <references count="2">
          <reference field="4294967294" count="1" selected="0">
            <x v="0"/>
          </reference>
          <reference field="6" count="1" selected="0">
            <x v="3"/>
          </reference>
        </references>
      </pivotArea>
    </chartFormat>
    <chartFormat chart="13" format="24">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F3FC28C-9AE7-4F87-88AE-01279AFDD900}" sourceName="Year">
  <pivotTables>
    <pivotTable tabId="2" name="PivotTable9"/>
    <pivotTable tabId="2" name="PivotTable10"/>
    <pivotTable tabId="2" name="PivotTable11"/>
    <pivotTable tabId="2" name="PivotTable12"/>
    <pivotTable tabId="2" name="PivotTable14"/>
    <pivotTable tabId="2" name="PivotTable8"/>
  </pivotTables>
  <data>
    <tabular pivotCacheId="630409208">
      <items count="22">
        <i x="0" s="1"/>
        <i x="1" s="1"/>
        <i x="2" s="1"/>
        <i x="3" s="1"/>
        <i x="4" s="1"/>
        <i x="5" s="1"/>
        <i x="6" s="1"/>
        <i x="7" s="1"/>
        <i x="8" s="1"/>
        <i x="9" s="1"/>
        <i x="10" s="1"/>
        <i x="11" s="1"/>
        <i x="12" s="1"/>
        <i x="13" s="1"/>
        <i x="14" s="1"/>
        <i x="15" s="1"/>
        <i x="16" s="1"/>
        <i x="17" s="1"/>
        <i x="18" s="1"/>
        <i x="19" s="1"/>
        <i x="20" s="1"/>
        <i x="2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 xr10:uid="{A6BAF843-3F01-4021-A019-22E556F960D6}" sourceName="Director">
  <pivotTables>
    <pivotTable tabId="2" name="PivotTable9"/>
    <pivotTable tabId="2" name="PivotTable10"/>
    <pivotTable tabId="2" name="PivotTable11"/>
    <pivotTable tabId="2" name="PivotTable12"/>
    <pivotTable tabId="2" name="PivotTable14"/>
    <pivotTable tabId="2" name="PivotTable8"/>
  </pivotTables>
  <data>
    <tabular pivotCacheId="630409208">
      <items count="20">
        <i x="16" s="1"/>
        <i x="18" s="1"/>
        <i x="2" s="1"/>
        <i x="6" s="1"/>
        <i x="4" s="1"/>
        <i x="0" s="1"/>
        <i x="15" s="1"/>
        <i x="3" s="1"/>
        <i x="19" s="1"/>
        <i x="10" s="1"/>
        <i x="8" s="1"/>
        <i x="5" s="1"/>
        <i x="13" s="1"/>
        <i x="12" s="1"/>
        <i x="14" s="1"/>
        <i x="11" s="1"/>
        <i x="7" s="1"/>
        <i x="9" s="1"/>
        <i x="17"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EE051ACF-9DED-4D9A-9150-771F60A6F0A8}" sourceName="Genre">
  <pivotTables>
    <pivotTable tabId="2" name="PivotTable9"/>
    <pivotTable tabId="2" name="PivotTable10"/>
    <pivotTable tabId="2" name="PivotTable11"/>
    <pivotTable tabId="2" name="PivotTable12"/>
    <pivotTable tabId="2" name="PivotTable14"/>
    <pivotTable tabId="2" name="PivotTable8"/>
  </pivotTables>
  <data>
    <tabular pivotCacheId="630409208">
      <items count="16">
        <i x="2" s="1"/>
        <i x="10" s="1"/>
        <i x="11" s="1"/>
        <i x="13" s="1"/>
        <i x="5" s="1"/>
        <i x="8" s="1"/>
        <i x="4" s="1"/>
        <i x="6" s="1"/>
        <i x="14" s="1"/>
        <i x="3" s="1"/>
        <i x="7" s="1"/>
        <i x="9" s="1"/>
        <i x="15" s="1"/>
        <i x="1" s="1"/>
        <i x="0"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A3EEDE4-6A79-4AEF-82FB-964062B94F6C}" cache="Slicer_Year" caption="Year" style="SlicerStyleDark2" rowHeight="247650"/>
  <slicer name="Director" xr10:uid="{B5A03850-6C81-4232-98BF-CCDF190D41F1}" cache="Slicer_Director" caption="Director" startItem="9" style="SlicerStyleDark2" rowHeight="247650"/>
  <slicer name="Genre" xr10:uid="{507DB9D3-AE56-4849-BA6C-B38809D50DE6}" cache="Slicer_Genre" caption="Genre"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4328D4-AC78-4FF7-9B2C-E4C1454C0440}" name="Table3" displayName="Table3" ref="A1:J29" totalsRowShown="0" headerRowDxfId="13" dataDxfId="12">
  <autoFilter ref="A1:J29" xr:uid="{AA4328D4-AC78-4FF7-9B2C-E4C1454C0440}"/>
  <tableColumns count="10">
    <tableColumn id="1" xr3:uid="{BE8F1AE0-37FA-43F1-A5AB-01C4EDFBBA09}" name="Movie Name" dataDxfId="11"/>
    <tableColumn id="2" xr3:uid="{1F8EE71F-A478-4A54-9357-B2FBB40B5AA8}" name="Year" dataDxfId="10"/>
    <tableColumn id="3" xr3:uid="{C3577BA7-AC6F-461B-8981-C1A5F5F74C4B}" name="Director" dataDxfId="9"/>
    <tableColumn id="4" xr3:uid="{800FD40F-BD00-4302-86EA-0B5070B79EC2}" name="Genre" dataDxfId="8"/>
    <tableColumn id="5" xr3:uid="{BE2CF5C0-F813-4E47-A3EA-3979B67681CA}" name="Budget (₹ Cr)" dataDxfId="7"/>
    <tableColumn id="6" xr3:uid="{8E8D692E-F531-438F-9181-9941ACEDDA15}" name="Box Office (₹ Cr)" dataDxfId="6"/>
    <tableColumn id="7" xr3:uid="{082A422E-D2DD-42F4-BD41-6A0CBB2F1578}" name="Verdict" dataDxfId="5"/>
    <tableColumn id="8" xr3:uid="{DF111B4B-3C7C-4E2F-AEF7-C453C22945B9}" name="IMDb Rating" dataDxfId="4"/>
    <tableColumn id="9" xr3:uid="{6325424C-C57B-4853-A591-291B531902E1}" name="Language" dataDxfId="3"/>
    <tableColumn id="10" xr3:uid="{3388823A-CE10-4547-925E-CE385E223177}" name="Production Hous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901BA-C3F5-44BC-BE9F-8CD933087A03}">
  <dimension ref="A1:J29"/>
  <sheetViews>
    <sheetView zoomScale="62" workbookViewId="0">
      <selection activeCell="L21" sqref="L21"/>
    </sheetView>
  </sheetViews>
  <sheetFormatPr defaultRowHeight="14.4" x14ac:dyDescent="0.3"/>
  <cols>
    <col min="1" max="1" width="14.5546875" bestFit="1" customWidth="1"/>
    <col min="3" max="3" width="16.88671875" bestFit="1" customWidth="1"/>
    <col min="4" max="4" width="15.21875" customWidth="1"/>
    <col min="5" max="5" width="13.5546875" customWidth="1"/>
    <col min="6" max="6" width="16.109375" customWidth="1"/>
    <col min="7" max="7" width="12.21875" customWidth="1"/>
    <col min="8" max="8" width="13.77734375" customWidth="1"/>
    <col min="9" max="9" width="10.5546875" customWidth="1"/>
    <col min="10" max="10" width="17.5546875" customWidth="1"/>
  </cols>
  <sheetData>
    <row r="1" spans="1:10" x14ac:dyDescent="0.3">
      <c r="A1" s="1" t="s">
        <v>0</v>
      </c>
      <c r="B1" s="1" t="s">
        <v>1</v>
      </c>
      <c r="C1" s="1" t="s">
        <v>2</v>
      </c>
      <c r="D1" s="1" t="s">
        <v>3</v>
      </c>
      <c r="E1" s="1" t="s">
        <v>4</v>
      </c>
      <c r="F1" s="1" t="s">
        <v>5</v>
      </c>
      <c r="G1" s="1" t="s">
        <v>6</v>
      </c>
      <c r="H1" s="1" t="s">
        <v>7</v>
      </c>
      <c r="I1" s="1" t="s">
        <v>8</v>
      </c>
      <c r="J1" s="1" t="s">
        <v>9</v>
      </c>
    </row>
    <row r="2" spans="1:10" ht="43.2" x14ac:dyDescent="0.3">
      <c r="A2" s="2" t="s">
        <v>10</v>
      </c>
      <c r="B2" s="2">
        <v>1999</v>
      </c>
      <c r="C2" s="2" t="s">
        <v>11</v>
      </c>
      <c r="D2" s="2" t="s">
        <v>12</v>
      </c>
      <c r="E2" s="2">
        <v>6</v>
      </c>
      <c r="F2" s="2">
        <v>25</v>
      </c>
      <c r="G2" s="2" t="s">
        <v>13</v>
      </c>
      <c r="H2" s="2">
        <v>7</v>
      </c>
      <c r="I2" s="2" t="s">
        <v>14</v>
      </c>
      <c r="J2" s="2" t="s">
        <v>15</v>
      </c>
    </row>
    <row r="3" spans="1:10" ht="57.6" x14ac:dyDescent="0.3">
      <c r="A3" s="2" t="s">
        <v>16</v>
      </c>
      <c r="B3" s="2">
        <v>2000</v>
      </c>
      <c r="C3" s="2" t="s">
        <v>17</v>
      </c>
      <c r="D3" s="2" t="s">
        <v>18</v>
      </c>
      <c r="E3" s="2">
        <v>5</v>
      </c>
      <c r="F3" s="2">
        <v>20</v>
      </c>
      <c r="G3" s="2" t="s">
        <v>19</v>
      </c>
      <c r="H3" s="2">
        <v>6.5</v>
      </c>
      <c r="I3" s="2" t="s">
        <v>14</v>
      </c>
      <c r="J3" s="2" t="s">
        <v>20</v>
      </c>
    </row>
    <row r="4" spans="1:10" ht="43.2" x14ac:dyDescent="0.3">
      <c r="A4" s="2" t="s">
        <v>21</v>
      </c>
      <c r="B4" s="2">
        <v>2000</v>
      </c>
      <c r="C4" s="2" t="s">
        <v>22</v>
      </c>
      <c r="D4" s="2" t="s">
        <v>23</v>
      </c>
      <c r="E4" s="2">
        <v>7</v>
      </c>
      <c r="F4" s="2">
        <v>15</v>
      </c>
      <c r="G4" s="2" t="s">
        <v>19</v>
      </c>
      <c r="H4" s="2">
        <v>6</v>
      </c>
      <c r="I4" s="2" t="s">
        <v>14</v>
      </c>
      <c r="J4" s="2" t="s">
        <v>24</v>
      </c>
    </row>
    <row r="5" spans="1:10" ht="43.2" x14ac:dyDescent="0.3">
      <c r="A5" s="2" t="s">
        <v>25</v>
      </c>
      <c r="B5" s="2">
        <v>2001</v>
      </c>
      <c r="C5" s="2" t="s">
        <v>26</v>
      </c>
      <c r="D5" s="2" t="s">
        <v>27</v>
      </c>
      <c r="E5" s="2">
        <v>8</v>
      </c>
      <c r="F5" s="2">
        <v>30</v>
      </c>
      <c r="G5" s="2" t="s">
        <v>13</v>
      </c>
      <c r="H5" s="2">
        <v>7.8</v>
      </c>
      <c r="I5" s="2" t="s">
        <v>14</v>
      </c>
      <c r="J5" s="2" t="s">
        <v>28</v>
      </c>
    </row>
    <row r="6" spans="1:10" ht="43.2" x14ac:dyDescent="0.3">
      <c r="A6" s="2" t="s">
        <v>29</v>
      </c>
      <c r="B6" s="2">
        <v>2002</v>
      </c>
      <c r="C6" s="2" t="s">
        <v>30</v>
      </c>
      <c r="D6" s="2" t="s">
        <v>31</v>
      </c>
      <c r="E6" s="2">
        <v>10</v>
      </c>
      <c r="F6" s="2">
        <v>20</v>
      </c>
      <c r="G6" s="2" t="s">
        <v>19</v>
      </c>
      <c r="H6" s="2">
        <v>6.4</v>
      </c>
      <c r="I6" s="2" t="s">
        <v>14</v>
      </c>
      <c r="J6" s="2" t="s">
        <v>32</v>
      </c>
    </row>
    <row r="7" spans="1:10" ht="28.8" x14ac:dyDescent="0.3">
      <c r="A7" s="2" t="s">
        <v>33</v>
      </c>
      <c r="B7" s="2">
        <v>2002</v>
      </c>
      <c r="C7" s="2" t="s">
        <v>34</v>
      </c>
      <c r="D7" s="2" t="s">
        <v>18</v>
      </c>
      <c r="E7" s="2">
        <v>9</v>
      </c>
      <c r="F7" s="2">
        <v>18</v>
      </c>
      <c r="G7" s="2" t="s">
        <v>35</v>
      </c>
      <c r="H7" s="2">
        <v>5.8</v>
      </c>
      <c r="I7" s="2" t="s">
        <v>14</v>
      </c>
      <c r="J7" s="2" t="s">
        <v>36</v>
      </c>
    </row>
    <row r="8" spans="1:10" ht="43.2" x14ac:dyDescent="0.3">
      <c r="A8" s="2" t="s">
        <v>37</v>
      </c>
      <c r="B8" s="2">
        <v>2003</v>
      </c>
      <c r="C8" s="2" t="s">
        <v>38</v>
      </c>
      <c r="D8" s="2" t="s">
        <v>39</v>
      </c>
      <c r="E8" s="2">
        <v>10</v>
      </c>
      <c r="F8" s="2">
        <v>40</v>
      </c>
      <c r="G8" s="2" t="s">
        <v>40</v>
      </c>
      <c r="H8" s="2">
        <v>8.1</v>
      </c>
      <c r="I8" s="2" t="s">
        <v>14</v>
      </c>
      <c r="J8" s="2" t="s">
        <v>41</v>
      </c>
    </row>
    <row r="9" spans="1:10" ht="28.8" x14ac:dyDescent="0.3">
      <c r="A9" s="2" t="s">
        <v>42</v>
      </c>
      <c r="B9" s="2">
        <v>2003</v>
      </c>
      <c r="C9" s="2" t="s">
        <v>43</v>
      </c>
      <c r="D9" s="2" t="s">
        <v>44</v>
      </c>
      <c r="E9" s="2">
        <v>8</v>
      </c>
      <c r="F9" s="2">
        <v>10</v>
      </c>
      <c r="G9" s="2" t="s">
        <v>35</v>
      </c>
      <c r="H9" s="2">
        <v>6.6</v>
      </c>
      <c r="I9" s="2" t="s">
        <v>14</v>
      </c>
      <c r="J9" s="2" t="s">
        <v>45</v>
      </c>
    </row>
    <row r="10" spans="1:10" ht="43.2" x14ac:dyDescent="0.3">
      <c r="A10" s="2" t="s">
        <v>46</v>
      </c>
      <c r="B10" s="2">
        <v>2004</v>
      </c>
      <c r="C10" s="2" t="s">
        <v>47</v>
      </c>
      <c r="D10" s="2" t="s">
        <v>48</v>
      </c>
      <c r="E10" s="2">
        <v>12</v>
      </c>
      <c r="F10" s="2">
        <v>18</v>
      </c>
      <c r="G10" s="2" t="s">
        <v>35</v>
      </c>
      <c r="H10" s="2">
        <v>5.5</v>
      </c>
      <c r="I10" s="2" t="s">
        <v>14</v>
      </c>
      <c r="J10" s="2" t="s">
        <v>49</v>
      </c>
    </row>
    <row r="11" spans="1:10" ht="28.8" x14ac:dyDescent="0.3">
      <c r="A11" s="2" t="s">
        <v>50</v>
      </c>
      <c r="B11" s="2">
        <v>2004</v>
      </c>
      <c r="C11" s="2" t="s">
        <v>38</v>
      </c>
      <c r="D11" s="2" t="s">
        <v>23</v>
      </c>
      <c r="E11" s="2">
        <v>15</v>
      </c>
      <c r="F11" s="2">
        <v>30</v>
      </c>
      <c r="G11" s="2" t="s">
        <v>19</v>
      </c>
      <c r="H11" s="2">
        <v>6.8</v>
      </c>
      <c r="I11" s="2" t="s">
        <v>14</v>
      </c>
      <c r="J11" s="2" t="s">
        <v>51</v>
      </c>
    </row>
    <row r="12" spans="1:10" ht="28.8" x14ac:dyDescent="0.3">
      <c r="A12" s="2" t="s">
        <v>52</v>
      </c>
      <c r="B12" s="2">
        <v>2005</v>
      </c>
      <c r="C12" s="2" t="s">
        <v>53</v>
      </c>
      <c r="D12" s="2" t="s">
        <v>54</v>
      </c>
      <c r="E12" s="2">
        <v>18</v>
      </c>
      <c r="F12" s="2">
        <v>45</v>
      </c>
      <c r="G12" s="2" t="s">
        <v>13</v>
      </c>
      <c r="H12" s="2">
        <v>8.1999999999999993</v>
      </c>
      <c r="I12" s="2" t="s">
        <v>14</v>
      </c>
      <c r="J12" s="2" t="s">
        <v>51</v>
      </c>
    </row>
    <row r="13" spans="1:10" ht="43.2" x14ac:dyDescent="0.3">
      <c r="A13" s="2" t="s">
        <v>55</v>
      </c>
      <c r="B13" s="2">
        <v>2006</v>
      </c>
      <c r="C13" s="2" t="s">
        <v>56</v>
      </c>
      <c r="D13" s="2" t="s">
        <v>23</v>
      </c>
      <c r="E13" s="2">
        <v>12</v>
      </c>
      <c r="F13" s="2">
        <v>66</v>
      </c>
      <c r="G13" s="2" t="s">
        <v>40</v>
      </c>
      <c r="H13" s="2">
        <v>8</v>
      </c>
      <c r="I13" s="2" t="s">
        <v>14</v>
      </c>
      <c r="J13" s="2" t="s">
        <v>36</v>
      </c>
    </row>
    <row r="14" spans="1:10" ht="43.2" x14ac:dyDescent="0.3">
      <c r="A14" s="2" t="s">
        <v>57</v>
      </c>
      <c r="B14" s="2">
        <v>2006</v>
      </c>
      <c r="C14" s="2" t="s">
        <v>38</v>
      </c>
      <c r="D14" s="2" t="s">
        <v>23</v>
      </c>
      <c r="E14" s="2">
        <v>30</v>
      </c>
      <c r="F14" s="2">
        <v>40</v>
      </c>
      <c r="G14" s="2" t="s">
        <v>35</v>
      </c>
      <c r="H14" s="2">
        <v>5.3</v>
      </c>
      <c r="I14" s="2" t="s">
        <v>14</v>
      </c>
      <c r="J14" s="2" t="s">
        <v>58</v>
      </c>
    </row>
    <row r="15" spans="1:10" ht="43.2" x14ac:dyDescent="0.3">
      <c r="A15" s="2" t="s">
        <v>59</v>
      </c>
      <c r="B15" s="2">
        <v>2007</v>
      </c>
      <c r="C15" s="2" t="s">
        <v>60</v>
      </c>
      <c r="D15" s="2" t="s">
        <v>23</v>
      </c>
      <c r="E15" s="2">
        <v>32</v>
      </c>
      <c r="F15" s="2">
        <v>45</v>
      </c>
      <c r="G15" s="2" t="s">
        <v>19</v>
      </c>
      <c r="H15" s="2">
        <v>5.8</v>
      </c>
      <c r="I15" s="2" t="s">
        <v>14</v>
      </c>
      <c r="J15" s="2" t="s">
        <v>61</v>
      </c>
    </row>
    <row r="16" spans="1:10" ht="43.2" x14ac:dyDescent="0.3">
      <c r="A16" s="2" t="s">
        <v>62</v>
      </c>
      <c r="B16" s="2">
        <v>2010</v>
      </c>
      <c r="C16" s="2" t="s">
        <v>53</v>
      </c>
      <c r="D16" s="2" t="s">
        <v>63</v>
      </c>
      <c r="E16" s="2">
        <v>35</v>
      </c>
      <c r="F16" s="2">
        <v>70</v>
      </c>
      <c r="G16" s="2" t="s">
        <v>19</v>
      </c>
      <c r="H16" s="2">
        <v>7.6</v>
      </c>
      <c r="I16" s="2" t="s">
        <v>14</v>
      </c>
      <c r="J16" s="2" t="s">
        <v>64</v>
      </c>
    </row>
    <row r="17" spans="1:10" ht="43.2" x14ac:dyDescent="0.3">
      <c r="A17" s="2" t="s">
        <v>65</v>
      </c>
      <c r="B17" s="2">
        <v>2011</v>
      </c>
      <c r="C17" s="2" t="s">
        <v>66</v>
      </c>
      <c r="D17" s="2" t="s">
        <v>67</v>
      </c>
      <c r="E17" s="2">
        <v>50</v>
      </c>
      <c r="F17" s="2">
        <v>101</v>
      </c>
      <c r="G17" s="2" t="s">
        <v>40</v>
      </c>
      <c r="H17" s="2">
        <v>7.4</v>
      </c>
      <c r="I17" s="2" t="s">
        <v>14</v>
      </c>
      <c r="J17" s="2" t="s">
        <v>68</v>
      </c>
    </row>
    <row r="18" spans="1:10" x14ac:dyDescent="0.3">
      <c r="A18" s="2" t="s">
        <v>69</v>
      </c>
      <c r="B18" s="2">
        <v>2012</v>
      </c>
      <c r="C18" s="2" t="s">
        <v>56</v>
      </c>
      <c r="D18" s="2" t="s">
        <v>70</v>
      </c>
      <c r="E18" s="2">
        <v>40</v>
      </c>
      <c r="F18" s="2">
        <v>80</v>
      </c>
      <c r="G18" s="2" t="s">
        <v>13</v>
      </c>
      <c r="H18" s="2">
        <v>7.2</v>
      </c>
      <c r="I18" s="2" t="s">
        <v>14</v>
      </c>
      <c r="J18" s="2" t="s">
        <v>71</v>
      </c>
    </row>
    <row r="19" spans="1:10" ht="28.8" x14ac:dyDescent="0.3">
      <c r="A19" s="2" t="s">
        <v>106</v>
      </c>
      <c r="B19" s="2">
        <v>2013</v>
      </c>
      <c r="C19" s="2" t="s">
        <v>72</v>
      </c>
      <c r="D19" s="2" t="s">
        <v>27</v>
      </c>
      <c r="E19" s="2">
        <v>50</v>
      </c>
      <c r="F19" s="2">
        <v>85</v>
      </c>
      <c r="G19" s="2" t="s">
        <v>13</v>
      </c>
      <c r="H19" s="2">
        <v>7.5</v>
      </c>
      <c r="I19" s="2" t="s">
        <v>14</v>
      </c>
      <c r="J19" s="2" t="s">
        <v>20</v>
      </c>
    </row>
    <row r="20" spans="1:10" ht="28.8" x14ac:dyDescent="0.3">
      <c r="A20" s="2" t="s">
        <v>73</v>
      </c>
      <c r="B20" s="2">
        <v>2014</v>
      </c>
      <c r="C20" s="2" t="s">
        <v>74</v>
      </c>
      <c r="D20" s="2" t="s">
        <v>75</v>
      </c>
      <c r="E20" s="2">
        <v>70</v>
      </c>
      <c r="F20" s="2">
        <v>62</v>
      </c>
      <c r="G20" s="2" t="s">
        <v>35</v>
      </c>
      <c r="H20" s="2">
        <v>8</v>
      </c>
      <c r="I20" s="2" t="s">
        <v>14</v>
      </c>
      <c r="J20" s="2" t="s">
        <v>68</v>
      </c>
    </row>
    <row r="21" spans="1:10" ht="28.8" x14ac:dyDescent="0.3">
      <c r="A21" s="2" t="s">
        <v>76</v>
      </c>
      <c r="B21" s="2">
        <v>2014</v>
      </c>
      <c r="C21" s="2" t="s">
        <v>66</v>
      </c>
      <c r="D21" s="2" t="s">
        <v>67</v>
      </c>
      <c r="E21" s="2">
        <v>60</v>
      </c>
      <c r="F21" s="2">
        <v>75</v>
      </c>
      <c r="G21" s="2" t="s">
        <v>35</v>
      </c>
      <c r="H21" s="2">
        <v>5.3</v>
      </c>
      <c r="I21" s="2" t="s">
        <v>14</v>
      </c>
      <c r="J21" s="2" t="s">
        <v>68</v>
      </c>
    </row>
    <row r="22" spans="1:10" x14ac:dyDescent="0.3">
      <c r="A22" s="2" t="s">
        <v>77</v>
      </c>
      <c r="B22" s="2">
        <v>2015</v>
      </c>
      <c r="C22" s="2" t="s">
        <v>78</v>
      </c>
      <c r="D22" s="2" t="s">
        <v>79</v>
      </c>
      <c r="E22" s="2">
        <v>40</v>
      </c>
      <c r="F22" s="2">
        <v>144</v>
      </c>
      <c r="G22" s="2" t="s">
        <v>40</v>
      </c>
      <c r="H22" s="2">
        <v>7.5</v>
      </c>
      <c r="I22" s="2" t="s">
        <v>14</v>
      </c>
      <c r="J22" s="2" t="s">
        <v>80</v>
      </c>
    </row>
    <row r="23" spans="1:10" x14ac:dyDescent="0.3">
      <c r="A23" s="2" t="s">
        <v>81</v>
      </c>
      <c r="B23" s="2">
        <v>2016</v>
      </c>
      <c r="C23" s="2" t="s">
        <v>72</v>
      </c>
      <c r="D23" s="2" t="s">
        <v>82</v>
      </c>
      <c r="E23" s="2">
        <v>70</v>
      </c>
      <c r="F23" s="2">
        <v>60</v>
      </c>
      <c r="G23" s="2" t="s">
        <v>35</v>
      </c>
      <c r="H23" s="2">
        <v>4</v>
      </c>
      <c r="I23" s="2" t="s">
        <v>14</v>
      </c>
      <c r="J23" s="2" t="s">
        <v>83</v>
      </c>
    </row>
    <row r="24" spans="1:10" ht="28.8" x14ac:dyDescent="0.3">
      <c r="A24" s="2" t="s">
        <v>84</v>
      </c>
      <c r="B24" s="2">
        <v>2017</v>
      </c>
      <c r="C24" s="2" t="s">
        <v>85</v>
      </c>
      <c r="D24" s="2" t="s">
        <v>54</v>
      </c>
      <c r="E24" s="2">
        <v>120</v>
      </c>
      <c r="F24" s="2">
        <v>150</v>
      </c>
      <c r="G24" s="2" t="s">
        <v>19</v>
      </c>
      <c r="H24" s="2">
        <v>6.3</v>
      </c>
      <c r="I24" s="2" t="s">
        <v>86</v>
      </c>
      <c r="J24" s="2" t="s">
        <v>87</v>
      </c>
    </row>
    <row r="25" spans="1:10" x14ac:dyDescent="0.3">
      <c r="A25" s="2" t="s">
        <v>88</v>
      </c>
      <c r="B25" s="2">
        <v>2018</v>
      </c>
      <c r="C25" s="2" t="s">
        <v>78</v>
      </c>
      <c r="D25" s="2" t="s">
        <v>89</v>
      </c>
      <c r="E25" s="2">
        <v>65</v>
      </c>
      <c r="F25" s="2">
        <v>225</v>
      </c>
      <c r="G25" s="2" t="s">
        <v>40</v>
      </c>
      <c r="H25" s="2">
        <v>7.8</v>
      </c>
      <c r="I25" s="2" t="s">
        <v>14</v>
      </c>
      <c r="J25" s="2" t="s">
        <v>90</v>
      </c>
    </row>
    <row r="26" spans="1:10" ht="28.8" x14ac:dyDescent="0.3">
      <c r="A26" s="2" t="s">
        <v>91</v>
      </c>
      <c r="B26" s="2">
        <v>2019</v>
      </c>
      <c r="C26" s="2" t="s">
        <v>92</v>
      </c>
      <c r="D26" s="2" t="s">
        <v>79</v>
      </c>
      <c r="E26" s="2">
        <v>100</v>
      </c>
      <c r="F26" s="2">
        <v>175</v>
      </c>
      <c r="G26" s="2" t="s">
        <v>93</v>
      </c>
      <c r="H26" s="2">
        <v>7.2</v>
      </c>
      <c r="I26" s="2" t="s">
        <v>14</v>
      </c>
      <c r="J26" s="2" t="s">
        <v>20</v>
      </c>
    </row>
    <row r="27" spans="1:10" ht="28.8" x14ac:dyDescent="0.3">
      <c r="A27" s="2" t="s">
        <v>94</v>
      </c>
      <c r="B27" s="2">
        <v>2020</v>
      </c>
      <c r="C27" s="2" t="s">
        <v>95</v>
      </c>
      <c r="D27" s="2" t="s">
        <v>67</v>
      </c>
      <c r="E27" s="2">
        <v>75</v>
      </c>
      <c r="F27" s="2">
        <v>260</v>
      </c>
      <c r="G27" s="2" t="s">
        <v>40</v>
      </c>
      <c r="H27" s="2">
        <v>6.8</v>
      </c>
      <c r="I27" s="2" t="s">
        <v>14</v>
      </c>
      <c r="J27" s="2" t="s">
        <v>96</v>
      </c>
    </row>
    <row r="28" spans="1:10" ht="28.8" x14ac:dyDescent="0.3">
      <c r="A28" s="2" t="s">
        <v>97</v>
      </c>
      <c r="B28" s="2">
        <v>2022</v>
      </c>
      <c r="C28" s="2" t="s">
        <v>98</v>
      </c>
      <c r="D28" s="2" t="s">
        <v>23</v>
      </c>
      <c r="E28" s="2">
        <v>60</v>
      </c>
      <c r="F28" s="2">
        <v>180</v>
      </c>
      <c r="G28" s="2" t="s">
        <v>13</v>
      </c>
      <c r="H28" s="2">
        <v>6.5</v>
      </c>
      <c r="I28" s="2" t="s">
        <v>14</v>
      </c>
      <c r="J28" s="2" t="s">
        <v>80</v>
      </c>
    </row>
    <row r="29" spans="1:10" ht="28.8" x14ac:dyDescent="0.3">
      <c r="A29" s="2" t="s">
        <v>99</v>
      </c>
      <c r="B29" s="2">
        <v>2024</v>
      </c>
      <c r="C29" s="2" t="s">
        <v>53</v>
      </c>
      <c r="D29" s="2" t="s">
        <v>79</v>
      </c>
      <c r="E29" s="2">
        <v>200</v>
      </c>
      <c r="F29" s="2">
        <v>172</v>
      </c>
      <c r="G29" s="2" t="s">
        <v>19</v>
      </c>
      <c r="H29" s="2">
        <v>5.5</v>
      </c>
      <c r="I29" s="2" t="s">
        <v>14</v>
      </c>
      <c r="J29" s="2" t="s">
        <v>100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C470E-4D0E-4529-87AB-BC5098552CBE}">
  <dimension ref="B2:N31"/>
  <sheetViews>
    <sheetView topLeftCell="C1" workbookViewId="0">
      <selection activeCell="M5" sqref="M5"/>
    </sheetView>
  </sheetViews>
  <sheetFormatPr defaultRowHeight="14.4" x14ac:dyDescent="0.3"/>
  <cols>
    <col min="2" max="2" width="12.44140625" bestFit="1" customWidth="1"/>
    <col min="3" max="3" width="18.5546875" bestFit="1" customWidth="1"/>
    <col min="7" max="7" width="30" bestFit="1" customWidth="1"/>
    <col min="8" max="8" width="20.44140625" bestFit="1" customWidth="1"/>
    <col min="10" max="10" width="18.5546875" bestFit="1" customWidth="1"/>
    <col min="11" max="11" width="19.88671875" bestFit="1" customWidth="1"/>
    <col min="12" max="12" width="20.44140625" bestFit="1" customWidth="1"/>
    <col min="13" max="13" width="14.88671875" bestFit="1" customWidth="1"/>
    <col min="14" max="14" width="18.5546875" bestFit="1" customWidth="1"/>
  </cols>
  <sheetData>
    <row r="2" spans="2:14" x14ac:dyDescent="0.3">
      <c r="B2" s="3" t="s">
        <v>101</v>
      </c>
      <c r="C2" t="s">
        <v>103</v>
      </c>
      <c r="G2" s="3" t="s">
        <v>101</v>
      </c>
      <c r="H2" t="s">
        <v>104</v>
      </c>
      <c r="J2" s="3" t="s">
        <v>101</v>
      </c>
      <c r="K2" t="s">
        <v>103</v>
      </c>
      <c r="M2" s="3" t="s">
        <v>101</v>
      </c>
      <c r="N2" t="s">
        <v>103</v>
      </c>
    </row>
    <row r="3" spans="2:14" x14ac:dyDescent="0.3">
      <c r="B3" s="4">
        <v>1999</v>
      </c>
      <c r="C3" s="7">
        <v>1</v>
      </c>
      <c r="G3" s="4" t="s">
        <v>94</v>
      </c>
      <c r="H3" s="7">
        <v>260</v>
      </c>
      <c r="J3" s="4" t="s">
        <v>19</v>
      </c>
      <c r="K3" s="7">
        <v>8</v>
      </c>
      <c r="M3" s="4" t="s">
        <v>23</v>
      </c>
      <c r="N3" s="7">
        <v>6</v>
      </c>
    </row>
    <row r="4" spans="2:14" x14ac:dyDescent="0.3">
      <c r="B4" s="4">
        <v>2000</v>
      </c>
      <c r="C4" s="7">
        <v>2</v>
      </c>
      <c r="G4" s="4" t="s">
        <v>88</v>
      </c>
      <c r="H4" s="7">
        <v>225</v>
      </c>
      <c r="J4" s="4" t="s">
        <v>40</v>
      </c>
      <c r="K4" s="7">
        <v>6</v>
      </c>
      <c r="M4" s="4" t="s">
        <v>67</v>
      </c>
      <c r="N4" s="7">
        <v>3</v>
      </c>
    </row>
    <row r="5" spans="2:14" x14ac:dyDescent="0.3">
      <c r="B5" s="4">
        <v>2001</v>
      </c>
      <c r="C5" s="7">
        <v>1</v>
      </c>
      <c r="G5" s="4" t="s">
        <v>97</v>
      </c>
      <c r="H5" s="7">
        <v>180</v>
      </c>
      <c r="J5" s="4" t="s">
        <v>35</v>
      </c>
      <c r="K5" s="7">
        <v>7</v>
      </c>
      <c r="M5" s="4" t="s">
        <v>70</v>
      </c>
      <c r="N5" s="7">
        <v>1</v>
      </c>
    </row>
    <row r="6" spans="2:14" x14ac:dyDescent="0.3">
      <c r="B6" s="4">
        <v>2002</v>
      </c>
      <c r="C6" s="7">
        <v>2</v>
      </c>
      <c r="G6" s="4" t="s">
        <v>91</v>
      </c>
      <c r="H6" s="7">
        <v>175</v>
      </c>
      <c r="J6" s="4" t="s">
        <v>13</v>
      </c>
      <c r="K6" s="7">
        <v>6</v>
      </c>
      <c r="M6" s="4" t="s">
        <v>79</v>
      </c>
      <c r="N6" s="7">
        <v>3</v>
      </c>
    </row>
    <row r="7" spans="2:14" x14ac:dyDescent="0.3">
      <c r="B7" s="4">
        <v>2003</v>
      </c>
      <c r="C7" s="7">
        <v>2</v>
      </c>
      <c r="G7" s="4" t="s">
        <v>99</v>
      </c>
      <c r="H7" s="7">
        <v>172</v>
      </c>
      <c r="J7" s="4" t="s">
        <v>93</v>
      </c>
      <c r="K7" s="7">
        <v>1</v>
      </c>
      <c r="M7" s="4" t="s">
        <v>39</v>
      </c>
      <c r="N7" s="7">
        <v>1</v>
      </c>
    </row>
    <row r="8" spans="2:14" x14ac:dyDescent="0.3">
      <c r="B8" s="4">
        <v>2004</v>
      </c>
      <c r="C8" s="7">
        <v>2</v>
      </c>
      <c r="G8" s="4" t="s">
        <v>84</v>
      </c>
      <c r="H8" s="7">
        <v>150</v>
      </c>
      <c r="J8" s="4" t="s">
        <v>102</v>
      </c>
      <c r="K8" s="7">
        <v>28</v>
      </c>
      <c r="M8" s="4" t="s">
        <v>54</v>
      </c>
      <c r="N8" s="7">
        <v>2</v>
      </c>
    </row>
    <row r="9" spans="2:14" x14ac:dyDescent="0.3">
      <c r="B9" s="4">
        <v>2005</v>
      </c>
      <c r="C9" s="7">
        <v>1</v>
      </c>
      <c r="G9" s="4" t="s">
        <v>77</v>
      </c>
      <c r="H9" s="7">
        <v>144</v>
      </c>
      <c r="M9" s="4" t="s">
        <v>31</v>
      </c>
      <c r="N9" s="7">
        <v>1</v>
      </c>
    </row>
    <row r="10" spans="2:14" x14ac:dyDescent="0.3">
      <c r="B10" s="4">
        <v>2006</v>
      </c>
      <c r="C10" s="7">
        <v>2</v>
      </c>
      <c r="G10" s="4" t="s">
        <v>65</v>
      </c>
      <c r="H10" s="7">
        <v>101</v>
      </c>
      <c r="M10" s="4" t="s">
        <v>44</v>
      </c>
      <c r="N10" s="7">
        <v>1</v>
      </c>
    </row>
    <row r="11" spans="2:14" x14ac:dyDescent="0.3">
      <c r="B11" s="4">
        <v>2007</v>
      </c>
      <c r="C11" s="7">
        <v>1</v>
      </c>
      <c r="G11" s="4" t="s">
        <v>107</v>
      </c>
      <c r="H11" s="7">
        <v>85</v>
      </c>
      <c r="M11" s="4" t="s">
        <v>82</v>
      </c>
      <c r="N11" s="7">
        <v>1</v>
      </c>
    </row>
    <row r="12" spans="2:14" x14ac:dyDescent="0.3">
      <c r="B12" s="4">
        <v>2010</v>
      </c>
      <c r="C12" s="7">
        <v>1</v>
      </c>
      <c r="G12" s="4" t="s">
        <v>69</v>
      </c>
      <c r="H12" s="7">
        <v>80</v>
      </c>
      <c r="M12" s="4" t="s">
        <v>27</v>
      </c>
      <c r="N12" s="7">
        <v>2</v>
      </c>
    </row>
    <row r="13" spans="2:14" x14ac:dyDescent="0.3">
      <c r="B13" s="4">
        <v>2011</v>
      </c>
      <c r="C13" s="7">
        <v>1</v>
      </c>
      <c r="G13" s="4" t="s">
        <v>76</v>
      </c>
      <c r="H13" s="7">
        <v>75</v>
      </c>
      <c r="M13" s="4" t="s">
        <v>48</v>
      </c>
      <c r="N13" s="7">
        <v>1</v>
      </c>
    </row>
    <row r="14" spans="2:14" x14ac:dyDescent="0.3">
      <c r="B14" s="4">
        <v>2012</v>
      </c>
      <c r="C14" s="7">
        <v>1</v>
      </c>
      <c r="G14" s="4" t="s">
        <v>62</v>
      </c>
      <c r="H14" s="7">
        <v>70</v>
      </c>
      <c r="M14" s="4" t="s">
        <v>63</v>
      </c>
      <c r="N14" s="7">
        <v>1</v>
      </c>
    </row>
    <row r="15" spans="2:14" x14ac:dyDescent="0.3">
      <c r="B15" s="4">
        <v>2013</v>
      </c>
      <c r="C15" s="7">
        <v>1</v>
      </c>
      <c r="G15" s="4" t="s">
        <v>55</v>
      </c>
      <c r="H15" s="7">
        <v>66</v>
      </c>
      <c r="M15" s="4" t="s">
        <v>89</v>
      </c>
      <c r="N15" s="7">
        <v>1</v>
      </c>
    </row>
    <row r="16" spans="2:14" x14ac:dyDescent="0.3">
      <c r="B16" s="4">
        <v>2014</v>
      </c>
      <c r="C16" s="7">
        <v>2</v>
      </c>
      <c r="G16" s="4" t="s">
        <v>73</v>
      </c>
      <c r="H16" s="7">
        <v>62</v>
      </c>
      <c r="M16" s="4" t="s">
        <v>18</v>
      </c>
      <c r="N16" s="7">
        <v>2</v>
      </c>
    </row>
    <row r="17" spans="2:14" x14ac:dyDescent="0.3">
      <c r="B17" s="4">
        <v>2015</v>
      </c>
      <c r="C17" s="7">
        <v>1</v>
      </c>
      <c r="G17" s="4" t="s">
        <v>81</v>
      </c>
      <c r="H17" s="7">
        <v>60</v>
      </c>
      <c r="M17" s="4" t="s">
        <v>12</v>
      </c>
      <c r="N17" s="7">
        <v>1</v>
      </c>
    </row>
    <row r="18" spans="2:14" x14ac:dyDescent="0.3">
      <c r="B18" s="4">
        <v>2016</v>
      </c>
      <c r="C18" s="7">
        <v>1</v>
      </c>
      <c r="G18" s="4" t="s">
        <v>59</v>
      </c>
      <c r="H18" s="7">
        <v>45</v>
      </c>
      <c r="M18" s="4" t="s">
        <v>75</v>
      </c>
      <c r="N18" s="7">
        <v>1</v>
      </c>
    </row>
    <row r="19" spans="2:14" x14ac:dyDescent="0.3">
      <c r="B19" s="4">
        <v>2017</v>
      </c>
      <c r="C19" s="7">
        <v>1</v>
      </c>
      <c r="G19" s="4" t="s">
        <v>52</v>
      </c>
      <c r="H19" s="7">
        <v>45</v>
      </c>
      <c r="M19" s="4" t="s">
        <v>102</v>
      </c>
      <c r="N19" s="7">
        <v>28</v>
      </c>
    </row>
    <row r="20" spans="2:14" x14ac:dyDescent="0.3">
      <c r="B20" s="4">
        <v>2018</v>
      </c>
      <c r="C20" s="7">
        <v>1</v>
      </c>
      <c r="G20" s="4" t="s">
        <v>57</v>
      </c>
      <c r="H20" s="7">
        <v>40</v>
      </c>
    </row>
    <row r="21" spans="2:14" x14ac:dyDescent="0.3">
      <c r="B21" s="4">
        <v>2019</v>
      </c>
      <c r="C21" s="7">
        <v>1</v>
      </c>
      <c r="G21" s="4" t="s">
        <v>37</v>
      </c>
      <c r="H21" s="7">
        <v>40</v>
      </c>
    </row>
    <row r="22" spans="2:14" x14ac:dyDescent="0.3">
      <c r="B22" s="4">
        <v>2020</v>
      </c>
      <c r="C22" s="7">
        <v>1</v>
      </c>
      <c r="G22" s="4" t="s">
        <v>50</v>
      </c>
      <c r="H22" s="7">
        <v>30</v>
      </c>
      <c r="L22" t="s">
        <v>104</v>
      </c>
    </row>
    <row r="23" spans="2:14" x14ac:dyDescent="0.3">
      <c r="B23" s="4">
        <v>2022</v>
      </c>
      <c r="C23" s="7">
        <v>1</v>
      </c>
      <c r="G23" s="4" t="s">
        <v>25</v>
      </c>
      <c r="H23" s="7">
        <v>30</v>
      </c>
      <c r="L23" s="7">
        <v>2261</v>
      </c>
    </row>
    <row r="24" spans="2:14" x14ac:dyDescent="0.3">
      <c r="B24" s="4">
        <v>2024</v>
      </c>
      <c r="C24" s="7">
        <v>1</v>
      </c>
      <c r="G24" s="4" t="s">
        <v>10</v>
      </c>
      <c r="H24" s="7">
        <v>25</v>
      </c>
      <c r="J24" t="s">
        <v>103</v>
      </c>
      <c r="K24" t="s">
        <v>105</v>
      </c>
    </row>
    <row r="25" spans="2:14" x14ac:dyDescent="0.3">
      <c r="B25" s="4" t="s">
        <v>102</v>
      </c>
      <c r="C25" s="7">
        <v>28</v>
      </c>
      <c r="G25" s="4" t="s">
        <v>16</v>
      </c>
      <c r="H25" s="7">
        <v>20</v>
      </c>
      <c r="J25" s="7">
        <v>28</v>
      </c>
      <c r="K25" s="6">
        <v>6.7285714285714295</v>
      </c>
    </row>
    <row r="26" spans="2:14" x14ac:dyDescent="0.3">
      <c r="G26" s="4" t="s">
        <v>29</v>
      </c>
      <c r="H26" s="7">
        <v>20</v>
      </c>
    </row>
    <row r="27" spans="2:14" x14ac:dyDescent="0.3">
      <c r="G27" s="4" t="s">
        <v>46</v>
      </c>
      <c r="H27" s="7">
        <v>18</v>
      </c>
    </row>
    <row r="28" spans="2:14" x14ac:dyDescent="0.3">
      <c r="G28" s="4" t="s">
        <v>33</v>
      </c>
      <c r="H28" s="7">
        <v>18</v>
      </c>
    </row>
    <row r="29" spans="2:14" x14ac:dyDescent="0.3">
      <c r="G29" s="4" t="s">
        <v>21</v>
      </c>
      <c r="H29" s="7">
        <v>15</v>
      </c>
    </row>
    <row r="30" spans="2:14" x14ac:dyDescent="0.3">
      <c r="G30" s="4" t="s">
        <v>42</v>
      </c>
      <c r="H30" s="7">
        <v>10</v>
      </c>
    </row>
    <row r="31" spans="2:14" x14ac:dyDescent="0.3">
      <c r="G31" s="4" t="s">
        <v>102</v>
      </c>
      <c r="H31" s="7">
        <v>2261</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A05F-A078-40B8-898E-8D000DF44E3D}">
  <dimension ref="AE16"/>
  <sheetViews>
    <sheetView tabSelected="1" topLeftCell="A13" zoomScale="50" workbookViewId="0">
      <selection activeCell="AJ55" sqref="AJ55"/>
    </sheetView>
  </sheetViews>
  <sheetFormatPr defaultRowHeight="14.4" x14ac:dyDescent="0.3"/>
  <sheetData>
    <row r="16" spans="31:31" x14ac:dyDescent="0.3">
      <c r="AE1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Mahesh Babu movies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Manvitha HM</dc:creator>
  <cp:lastModifiedBy>Manvitha HM</cp:lastModifiedBy>
  <dcterms:created xsi:type="dcterms:W3CDTF">2026-03-09T12:46:24Z</dcterms:created>
  <dcterms:modified xsi:type="dcterms:W3CDTF">2026-03-22T13:43:36Z</dcterms:modified>
</cp:coreProperties>
</file>